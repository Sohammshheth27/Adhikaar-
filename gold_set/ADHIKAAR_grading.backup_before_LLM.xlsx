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Labels" sheetId="2" state="visible" r:id="rId2"/>
    <sheet xmlns:r="http://schemas.openxmlformats.org/officeDocument/2006/relationships" name="du.ac.in" sheetId="3" state="visible" r:id="rId3"/>
    <sheet xmlns:r="http://schemas.openxmlformats.org/officeDocument/2006/relationships" name="iima.ac.in" sheetId="4" state="visible" r:id="rId4"/>
    <sheet xmlns:r="http://schemas.openxmlformats.org/officeDocument/2006/relationships" name="jnu.ac.in" sheetId="5" state="visible" r:id="rId5"/>
    <sheet xmlns:r="http://schemas.openxmlformats.org/officeDocument/2006/relationships" name="akshayapatra.org" sheetId="6" state="visible" r:id="rId6"/>
    <sheet xmlns:r="http://schemas.openxmlformats.org/officeDocument/2006/relationships" name="savethechildren.in" sheetId="7" state="visible" r:id="rId7"/>
    <sheet xmlns:r="http://schemas.openxmlformats.org/officeDocument/2006/relationships" name="tatatrusts.org" sheetId="8" state="visible" r:id="rId8"/>
    <sheet xmlns:r="http://schemas.openxmlformats.org/officeDocument/2006/relationships" name="networkintelligence.ai" sheetId="9" state="visible" r:id="rId9"/>
    <sheet xmlns:r="http://schemas.openxmlformats.org/officeDocument/2006/relationships" name="powersoft.in" sheetId="10" state="visible" r:id="rId10"/>
    <sheet xmlns:r="http://schemas.openxmlformats.org/officeDocument/2006/relationships" name="robu.in" sheetId="11" state="visible" r:id="rId11"/>
  </sheets>
  <definedNames>
    <definedName name="_xlnm._FilterDatabase" localSheetId="1" hidden="1">'Labels'!$A$1:$I$424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6"/>
    </font>
    <font>
      <sz val="11"/>
    </font>
    <font>
      <b val="1"/>
      <sz val="12"/>
    </font>
    <font>
      <b val="1"/>
      <sz val="11"/>
    </font>
    <font>
      <b val="1"/>
      <sz val="13"/>
    </font>
    <font>
      <i val="1"/>
      <color rgb="00666666"/>
    </font>
    <font>
      <b val="1"/>
      <color rgb="00FFFFFF"/>
    </font>
    <font>
      <color rgb="000563C1"/>
      <u val="single"/>
    </font>
  </fonts>
  <fills count="5">
    <fill>
      <patternFill/>
    </fill>
    <fill>
      <patternFill patternType="gray125"/>
    </fill>
    <fill>
      <patternFill patternType="solid">
        <fgColor rgb="002F5496"/>
      </patternFill>
    </fill>
    <fill>
      <patternFill patternType="solid">
        <fgColor rgb="00FFFFFF"/>
      </patternFill>
    </fill>
    <fill>
      <patternFill patternType="solid">
        <fgColor rgb="00EEF3FB"/>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7" fillId="2" borderId="0"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0" fontId="8" fillId="3"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8" fillId="4" borderId="1" applyAlignment="1" pivotButton="0" quotePrefix="0" xfId="0">
      <alignment vertical="top"/>
    </xf>
    <xf numFmtId="0" fontId="5" fillId="0" borderId="0" pivotButton="0" quotePrefix="0" xfId="0"/>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ADHIKAAR grading workbook</t>
        </is>
      </c>
    </row>
    <row r="2">
      <c r="A2" s="2" t="inlineStr"/>
    </row>
    <row r="3">
      <c r="A3" s="3" t="inlineStr">
        <is>
          <t>What to do: on the 'Labels' sheet, fill the VERDICT column for each row.</t>
        </is>
      </c>
    </row>
    <row r="4">
      <c r="A4" s="2" t="inlineStr">
        <is>
          <t>Each row = one DPDP duty applied to one website. There are 423 rows (9 sites x 47 duties).</t>
        </is>
      </c>
    </row>
    <row r="5">
      <c r="A5" s="2" t="inlineStr"/>
    </row>
    <row r="6">
      <c r="A6" s="3" t="inlineStr">
        <is>
          <t>How to grade one row:</t>
        </is>
      </c>
    </row>
    <row r="7">
      <c r="A7" s="2" t="inlineStr">
        <is>
          <t>1. Look at the 'site' in the row. Open that site's tab at the bottom (e.g. the 'robu.in' tab) to read its privacy policy.</t>
        </is>
      </c>
    </row>
    <row r="8">
      <c r="A8" s="2" t="inlineStr">
        <is>
          <t>2. Read the 'requirement' in the row (what the law asks for).</t>
        </is>
      </c>
    </row>
    <row r="9">
      <c r="A9" s="2" t="inlineStr">
        <is>
          <t>3. Click the VERDICT cell. A dropdown appears. Pick ONE:</t>
        </is>
      </c>
    </row>
    <row r="10">
      <c r="A10" s="2" t="inlineStr">
        <is>
          <t xml:space="preserve">        Compliant      = the policy clearly does this</t>
        </is>
      </c>
    </row>
    <row r="11">
      <c r="A11" s="2" t="inlineStr">
        <is>
          <t xml:space="preserve">        Partial        = mentioned, but vague or incomplete</t>
        </is>
      </c>
    </row>
    <row r="12">
      <c r="A12" s="2" t="inlineStr">
        <is>
          <t xml:space="preserve">        Gap            = required, but missing from the policy</t>
        </is>
      </c>
    </row>
    <row r="13">
      <c r="A13" s="2" t="inlineStr">
        <is>
          <t xml:space="preserve">        NotApplicable  = this rule does not apply to this site</t>
        </is>
      </c>
    </row>
    <row r="14">
      <c r="A14" s="2" t="inlineStr">
        <is>
          <t xml:space="preserve">        NotVerifiable  = cannot tell from the public policy alone</t>
        </is>
      </c>
    </row>
    <row r="15">
      <c r="A15" s="2" t="inlineStr">
        <is>
          <t>4. (Optional) Type the sentence you based it on into 'evidence_note'.</t>
        </is>
      </c>
    </row>
    <row r="16">
      <c r="A16" s="2" t="inlineStr"/>
    </row>
    <row r="17">
      <c r="A17" s="4" t="inlineStr">
        <is>
          <t>Judge ONLY from the policy text and the law. Do not use any tool output. That keeps your grading independent.</t>
        </is>
      </c>
    </row>
    <row r="18">
      <c r="A18" s="2" t="inlineStr"/>
    </row>
    <row r="19">
      <c r="A19" s="2" t="inlineStr">
        <is>
          <t>Tip: you can grade just one site first (47 rows). Use the filter arrow on the 'site' column in the Labels sheet.</t>
        </is>
      </c>
    </row>
    <row r="20">
      <c r="A20" s="2" t="inlineStr">
        <is>
          <t>Tip: rows alternate shading by site so you can see where one site ends and the next begins.</t>
        </is>
      </c>
    </row>
    <row r="21">
      <c r="A21" s="2" t="inlineStr"/>
    </row>
    <row r="22">
      <c r="A22" s="4" t="inlineStr">
        <is>
          <t>When done: save the file and send it back. If a second person grades too, they use a fresh copy of this same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7" customWidth="1" min="3" max="3"/>
    <col width="58" customWidth="1" min="4" max="4"/>
    <col width="16" customWidth="1" min="5" max="5"/>
    <col width="8" customWidth="1" min="6" max="6"/>
    <col width="16" customWidth="1" min="7" max="7"/>
    <col width="40" customWidth="1" min="8" max="8"/>
    <col width="16" customWidth="1" min="9" max="9"/>
  </cols>
  <sheetData>
    <row r="1">
      <c r="A1" s="5" t="inlineStr">
        <is>
          <t>site</t>
        </is>
      </c>
      <c r="B1" s="5" t="inlineStr">
        <is>
          <t>sector</t>
        </is>
      </c>
      <c r="C1" s="5" t="inlineStr">
        <is>
          <t>duty_id</t>
        </is>
      </c>
      <c r="D1" s="5" t="inlineStr">
        <is>
          <t>requirement</t>
        </is>
      </c>
      <c r="E1" s="5" t="inlineStr">
        <is>
          <t>anchor</t>
        </is>
      </c>
      <c r="F1" s="5" t="inlineStr">
        <is>
          <t>in_force</t>
        </is>
      </c>
      <c r="G1" s="5" t="inlineStr">
        <is>
          <t>verdict</t>
        </is>
      </c>
      <c r="H1" s="5" t="inlineStr">
        <is>
          <t>evidence_note</t>
        </is>
      </c>
      <c r="I1" s="5" t="inlineStr">
        <is>
          <t>read_policy</t>
        </is>
      </c>
    </row>
    <row r="2">
      <c r="A2" s="6" t="inlineStr">
        <is>
          <t>du.ac.in</t>
        </is>
      </c>
      <c r="B2" s="6" t="inlineStr">
        <is>
          <t>edu</t>
        </is>
      </c>
      <c r="C2" s="6" t="n">
        <v>1</v>
      </c>
      <c r="D2" s="7" t="inlineStr">
        <is>
          <t>The notice itemises the categories of personal data collected, in plain language.</t>
        </is>
      </c>
      <c r="E2" s="6" t="inlineStr">
        <is>
          <t>Rule 3; Act S.5</t>
        </is>
      </c>
      <c r="F2" s="6" t="inlineStr">
        <is>
          <t>yes</t>
        </is>
      </c>
      <c r="G2" s="6" t="inlineStr"/>
      <c r="H2" s="6" t="inlineStr"/>
      <c r="I2" s="8">
        <f>HYPERLINK("#'du.ac.in'!A1","read policy")</f>
        <v/>
      </c>
    </row>
    <row r="3">
      <c r="A3" s="6" t="inlineStr">
        <is>
          <t>du.ac.in</t>
        </is>
      </c>
      <c r="B3" s="6" t="inlineStr">
        <is>
          <t>edu</t>
        </is>
      </c>
      <c r="C3" s="6" t="n">
        <v>2</v>
      </c>
      <c r="D3" s="7" t="inlineStr">
        <is>
          <t>A specific purpose is stated for the data collected; generic 'business purposes' is only Partial.</t>
        </is>
      </c>
      <c r="E3" s="6" t="inlineStr">
        <is>
          <t>Rule 3; Act S.6</t>
        </is>
      </c>
      <c r="F3" s="6" t="inlineStr">
        <is>
          <t>yes</t>
        </is>
      </c>
      <c r="G3" s="6" t="inlineStr"/>
      <c r="H3" s="6" t="inlineStr"/>
      <c r="I3" s="8">
        <f>HYPERLINK("#'du.ac.in'!A1","read policy")</f>
        <v/>
      </c>
    </row>
    <row r="4">
      <c r="A4" s="6" t="inlineStr">
        <is>
          <t>du.ac.in</t>
        </is>
      </c>
      <c r="B4" s="6" t="inlineStr">
        <is>
          <t>edu</t>
        </is>
      </c>
      <c r="C4" s="6" t="n">
        <v>3</v>
      </c>
      <c r="D4" s="7" t="inlineStr">
        <is>
          <t>The notice is clear, plain-language and understandable on its own.</t>
        </is>
      </c>
      <c r="E4" s="6" t="inlineStr">
        <is>
          <t>Rule 3; Act S.5</t>
        </is>
      </c>
      <c r="F4" s="6" t="inlineStr">
        <is>
          <t>yes</t>
        </is>
      </c>
      <c r="G4" s="6" t="inlineStr"/>
      <c r="H4" s="6" t="inlineStr"/>
      <c r="I4" s="8">
        <f>HYPERLINK("#'du.ac.in'!A1","read policy")</f>
        <v/>
      </c>
    </row>
    <row r="5">
      <c r="A5" s="6" t="inlineStr">
        <is>
          <t>du.ac.in</t>
        </is>
      </c>
      <c r="B5" s="6" t="inlineStr">
        <is>
          <t>edu</t>
        </is>
      </c>
      <c r="C5" s="6" t="n">
        <v>4</v>
      </c>
      <c r="D5" s="7" t="inlineStr">
        <is>
          <t>Processing is on a stated lawful basis (consent or a legitimate use).</t>
        </is>
      </c>
      <c r="E5" s="6" t="inlineStr">
        <is>
          <t>Act S.4</t>
        </is>
      </c>
      <c r="F5" s="6" t="inlineStr">
        <is>
          <t>yes</t>
        </is>
      </c>
      <c r="G5" s="6" t="inlineStr"/>
      <c r="H5" s="6" t="inlineStr"/>
      <c r="I5" s="8">
        <f>HYPERLINK("#'du.ac.in'!A1","read policy")</f>
        <v/>
      </c>
    </row>
    <row r="6">
      <c r="A6" s="6" t="inlineStr">
        <is>
          <t>du.ac.in</t>
        </is>
      </c>
      <c r="B6" s="6" t="inlineStr">
        <is>
          <t>edu</t>
        </is>
      </c>
      <c r="C6" s="6" t="n">
        <v>5</v>
      </c>
      <c r="D6" s="7" t="inlineStr">
        <is>
          <t>Collection is limited to data necessary for the specified purpose (purpose/data limitation).</t>
        </is>
      </c>
      <c r="E6" s="6" t="inlineStr">
        <is>
          <t>Act S.6(1)</t>
        </is>
      </c>
      <c r="F6" s="6" t="inlineStr">
        <is>
          <t>yes</t>
        </is>
      </c>
      <c r="G6" s="6" t="inlineStr"/>
      <c r="H6" s="6" t="inlineStr"/>
      <c r="I6" s="8">
        <f>HYPERLINK("#'du.ac.in'!A1","read policy")</f>
        <v/>
      </c>
    </row>
    <row r="7">
      <c r="A7" s="6" t="inlineStr">
        <is>
          <t>du.ac.in</t>
        </is>
      </c>
      <c r="B7" s="6" t="inlineStr">
        <is>
          <t>edu</t>
        </is>
      </c>
      <c r="C7" s="6" t="n">
        <v>6</v>
      </c>
      <c r="D7" s="7" t="inlineStr">
        <is>
          <t>If legitimate uses are relied upon, they fall within the Act's Section 7 categories.</t>
        </is>
      </c>
      <c r="E7" s="6" t="inlineStr">
        <is>
          <t>Act S.7</t>
        </is>
      </c>
      <c r="F7" s="6" t="inlineStr">
        <is>
          <t>yes</t>
        </is>
      </c>
      <c r="G7" s="6" t="inlineStr"/>
      <c r="H7" s="6" t="inlineStr"/>
      <c r="I7" s="8">
        <f>HYPERLINK("#'du.ac.in'!A1","read policy")</f>
        <v/>
      </c>
    </row>
    <row r="8">
      <c r="A8" s="6" t="inlineStr">
        <is>
          <t>du.ac.in</t>
        </is>
      </c>
      <c r="B8" s="6" t="inlineStr">
        <is>
          <t>edu</t>
        </is>
      </c>
      <c r="C8" s="6" t="n">
        <v>7</v>
      </c>
      <c r="D8" s="7" t="inlineStr">
        <is>
          <t>A commitment to keep personal data accurate, complete and up to date.</t>
        </is>
      </c>
      <c r="E8" s="6" t="inlineStr">
        <is>
          <t>Act S.8(3)</t>
        </is>
      </c>
      <c r="F8" s="6" t="inlineStr">
        <is>
          <t>yes</t>
        </is>
      </c>
      <c r="G8" s="6" t="inlineStr"/>
      <c r="H8" s="6" t="inlineStr"/>
      <c r="I8" s="8">
        <f>HYPERLINK("#'du.ac.in'!A1","read policy")</f>
        <v/>
      </c>
    </row>
    <row r="9">
      <c r="A9" s="6" t="inlineStr">
        <is>
          <t>du.ac.in</t>
        </is>
      </c>
      <c r="B9" s="6" t="inlineStr">
        <is>
          <t>edu</t>
        </is>
      </c>
      <c r="C9" s="6" t="n">
        <v>8</v>
      </c>
      <c r="D9" s="7" t="inlineStr">
        <is>
          <t>A retention period, or an 'erase when the purpose ends' commitment, is stated.</t>
        </is>
      </c>
      <c r="E9" s="6" t="inlineStr">
        <is>
          <t>Rule 8; Act S.8(7)-(8)</t>
        </is>
      </c>
      <c r="F9" s="6" t="inlineStr">
        <is>
          <t>yes</t>
        </is>
      </c>
      <c r="G9" s="6" t="inlineStr"/>
      <c r="H9" s="6" t="inlineStr"/>
      <c r="I9" s="8">
        <f>HYPERLINK("#'du.ac.in'!A1","read policy")</f>
        <v/>
      </c>
    </row>
    <row r="10">
      <c r="A10" s="6" t="inlineStr">
        <is>
          <t>du.ac.in</t>
        </is>
      </c>
      <c r="B10" s="6" t="inlineStr">
        <is>
          <t>edu</t>
        </is>
      </c>
      <c r="C10" s="6" t="n">
        <v>9</v>
      </c>
      <c r="D10" s="7" t="inlineStr">
        <is>
          <t>Reasonable security safeguards (encryption, access control) are disclosed.</t>
        </is>
      </c>
      <c r="E10" s="6" t="inlineStr">
        <is>
          <t>Rule 6; Act S.8(5)</t>
        </is>
      </c>
      <c r="F10" s="6" t="inlineStr">
        <is>
          <t>yes</t>
        </is>
      </c>
      <c r="G10" s="6" t="inlineStr"/>
      <c r="H10" s="6" t="inlineStr"/>
      <c r="I10" s="8">
        <f>HYPERLINK("#'du.ac.in'!A1","read policy")</f>
        <v/>
      </c>
    </row>
    <row r="11">
      <c r="A11" s="6" t="inlineStr">
        <is>
          <t>du.ac.in</t>
        </is>
      </c>
      <c r="B11" s="6" t="inlineStr">
        <is>
          <t>edu</t>
        </is>
      </c>
      <c r="C11" s="6" t="n">
        <v>10</v>
      </c>
      <c r="D11" s="7" t="inlineStr">
        <is>
          <t>A commitment to notify affected users and the Board of a personal-data breach.</t>
        </is>
      </c>
      <c r="E11" s="6" t="inlineStr">
        <is>
          <t>Rule 7; Act S.8(6)</t>
        </is>
      </c>
      <c r="F11" s="6" t="inlineStr">
        <is>
          <t>yes</t>
        </is>
      </c>
      <c r="G11" s="6" t="inlineStr"/>
      <c r="H11" s="6" t="inlineStr"/>
      <c r="I11" s="8">
        <f>HYPERLINK("#'du.ac.in'!A1","read policy")</f>
        <v/>
      </c>
    </row>
    <row r="12">
      <c r="A12" s="6" t="inlineStr">
        <is>
          <t>du.ac.in</t>
        </is>
      </c>
      <c r="B12" s="6" t="inlineStr">
        <is>
          <t>edu</t>
        </is>
      </c>
      <c r="C12" s="6" t="n">
        <v>11</v>
      </c>
      <c r="D12" s="7" t="inlineStr">
        <is>
          <t>Withdrawal of consent is offered and is as easy as giving it, with a route stated.</t>
        </is>
      </c>
      <c r="E12" s="6" t="inlineStr">
        <is>
          <t>Rule 3; Act S.6(4)</t>
        </is>
      </c>
      <c r="F12" s="6" t="inlineStr">
        <is>
          <t>yes</t>
        </is>
      </c>
      <c r="G12" s="6" t="inlineStr"/>
      <c r="H12" s="6" t="inlineStr"/>
      <c r="I12" s="8">
        <f>HYPERLINK("#'du.ac.in'!A1","read policy")</f>
        <v/>
      </c>
    </row>
    <row r="13">
      <c r="A13" s="6" t="inlineStr">
        <is>
          <t>du.ac.in</t>
        </is>
      </c>
      <c r="B13" s="6" t="inlineStr">
        <is>
          <t>edu</t>
        </is>
      </c>
      <c r="C13" s="6" t="n">
        <v>12</v>
      </c>
      <c r="D13" s="7" t="inlineStr">
        <is>
          <t>Consent is a clear affirmative action, unbundled, not pre-ticked or implied.</t>
        </is>
      </c>
      <c r="E13" s="6" t="inlineStr">
        <is>
          <t>Act S.6</t>
        </is>
      </c>
      <c r="F13" s="6" t="inlineStr">
        <is>
          <t>yes</t>
        </is>
      </c>
      <c r="G13" s="6" t="inlineStr"/>
      <c r="H13" s="6" t="inlineStr"/>
      <c r="I13" s="8">
        <f>HYPERLINK("#'du.ac.in'!A1","read policy")</f>
        <v/>
      </c>
    </row>
    <row r="14">
      <c r="A14" s="6" t="inlineStr">
        <is>
          <t>du.ac.in</t>
        </is>
      </c>
      <c r="B14" s="6" t="inlineStr">
        <is>
          <t>edu</t>
        </is>
      </c>
      <c r="C14" s="6" t="n">
        <v>13</v>
      </c>
      <c r="D14" s="7" t="inlineStr">
        <is>
          <t>The Consent Manager route is acknowledged where relevant.</t>
        </is>
      </c>
      <c r="E14" s="6" t="inlineStr">
        <is>
          <t>Rule 4; Act S.6(7)</t>
        </is>
      </c>
      <c r="F14" s="6" t="inlineStr">
        <is>
          <t>yes</t>
        </is>
      </c>
      <c r="G14" s="6" t="inlineStr"/>
      <c r="H14" s="6" t="inlineStr"/>
      <c r="I14" s="8">
        <f>HYPERLINK("#'du.ac.in'!A1","read policy")</f>
        <v/>
      </c>
    </row>
    <row r="15">
      <c r="A15" s="6" t="inlineStr">
        <is>
          <t>du.ac.in</t>
        </is>
      </c>
      <c r="B15" s="6" t="inlineStr">
        <is>
          <t>edu</t>
        </is>
      </c>
      <c r="C15" s="6" t="n">
        <v>14</v>
      </c>
      <c r="D15" s="7" t="inlineStr">
        <is>
          <t>Users can review consent given / records of consent are maintained.</t>
        </is>
      </c>
      <c r="E15" s="6" t="inlineStr">
        <is>
          <t>Act S.6(6)</t>
        </is>
      </c>
      <c r="F15" s="6" t="inlineStr">
        <is>
          <t>yes</t>
        </is>
      </c>
      <c r="G15" s="6" t="inlineStr"/>
      <c r="H15" s="6" t="inlineStr"/>
      <c r="I15" s="8">
        <f>HYPERLINK("#'du.ac.in'!A1","read policy")</f>
        <v/>
      </c>
    </row>
    <row r="16">
      <c r="A16" s="6" t="inlineStr">
        <is>
          <t>du.ac.in</t>
        </is>
      </c>
      <c r="B16" s="6" t="inlineStr">
        <is>
          <t>edu</t>
        </is>
      </c>
      <c r="C16" s="6" t="n">
        <v>15</v>
      </c>
      <c r="D16" s="7" t="inlineStr">
        <is>
          <t>Verifiable parental consent for under-18s, and no tracking, behavioural monitoring or targeted ads to children.</t>
        </is>
      </c>
      <c r="E16" s="6" t="inlineStr">
        <is>
          <t>Act S.9</t>
        </is>
      </c>
      <c r="F16" s="6" t="inlineStr">
        <is>
          <t>yes</t>
        </is>
      </c>
      <c r="G16" s="6" t="inlineStr"/>
      <c r="H16" s="6" t="inlineStr"/>
      <c r="I16" s="8">
        <f>HYPERLINK("#'du.ac.in'!A1","read policy")</f>
        <v/>
      </c>
    </row>
    <row r="17">
      <c r="A17" s="6" t="inlineStr">
        <is>
          <t>du.ac.in</t>
        </is>
      </c>
      <c r="B17" s="6" t="inlineStr">
        <is>
          <t>edu</t>
        </is>
      </c>
      <c r="C17" s="6" t="n">
        <v>16</v>
      </c>
      <c r="D17" s="7" t="inlineStr">
        <is>
          <t>The right to access a summary of personal data being processed is disclosed.</t>
        </is>
      </c>
      <c r="E17" s="6" t="inlineStr">
        <is>
          <t>Act S.11</t>
        </is>
      </c>
      <c r="F17" s="6" t="inlineStr">
        <is>
          <t>yes</t>
        </is>
      </c>
      <c r="G17" s="6" t="inlineStr"/>
      <c r="H17" s="6" t="inlineStr"/>
      <c r="I17" s="8">
        <f>HYPERLINK("#'du.ac.in'!A1","read policy")</f>
        <v/>
      </c>
    </row>
    <row r="18">
      <c r="A18" s="6" t="inlineStr">
        <is>
          <t>du.ac.in</t>
        </is>
      </c>
      <c r="B18" s="6" t="inlineStr">
        <is>
          <t>edu</t>
        </is>
      </c>
      <c r="C18" s="6" t="n">
        <v>17</v>
      </c>
      <c r="D18" s="7" t="inlineStr">
        <is>
          <t>The right to correction of personal data is disclosed.</t>
        </is>
      </c>
      <c r="E18" s="6" t="inlineStr">
        <is>
          <t>Act S.12</t>
        </is>
      </c>
      <c r="F18" s="6" t="inlineStr">
        <is>
          <t>yes</t>
        </is>
      </c>
      <c r="G18" s="6" t="inlineStr"/>
      <c r="H18" s="6" t="inlineStr"/>
      <c r="I18" s="8">
        <f>HYPERLINK("#'du.ac.in'!A1","read policy")</f>
        <v/>
      </c>
    </row>
    <row r="19">
      <c r="A19" s="6" t="inlineStr">
        <is>
          <t>du.ac.in</t>
        </is>
      </c>
      <c r="B19" s="6" t="inlineStr">
        <is>
          <t>edu</t>
        </is>
      </c>
      <c r="C19" s="6" t="n">
        <v>18</v>
      </c>
      <c r="D19" s="7" t="inlineStr">
        <is>
          <t>The right to erasure of personal data is disclosed.</t>
        </is>
      </c>
      <c r="E19" s="6" t="inlineStr">
        <is>
          <t>Act S.12</t>
        </is>
      </c>
      <c r="F19" s="6" t="inlineStr">
        <is>
          <t>yes</t>
        </is>
      </c>
      <c r="G19" s="6" t="inlineStr"/>
      <c r="H19" s="6" t="inlineStr"/>
      <c r="I19" s="8">
        <f>HYPERLINK("#'du.ac.in'!A1","read policy")</f>
        <v/>
      </c>
    </row>
    <row r="20">
      <c r="A20" s="6" t="inlineStr">
        <is>
          <t>du.ac.in</t>
        </is>
      </c>
      <c r="B20" s="6" t="inlineStr">
        <is>
          <t>edu</t>
        </is>
      </c>
      <c r="C20" s="6" t="n">
        <v>19</v>
      </c>
      <c r="D20" s="7" t="inlineStr">
        <is>
          <t>A readily available grievance-redressal route is disclosed.</t>
        </is>
      </c>
      <c r="E20" s="6" t="inlineStr">
        <is>
          <t>Act S.13</t>
        </is>
      </c>
      <c r="F20" s="6" t="inlineStr">
        <is>
          <t>yes</t>
        </is>
      </c>
      <c r="G20" s="6" t="inlineStr"/>
      <c r="H20" s="6" t="inlineStr"/>
      <c r="I20" s="8">
        <f>HYPERLINK("#'du.ac.in'!A1","read policy")</f>
        <v/>
      </c>
    </row>
    <row r="21">
      <c r="A21" s="6" t="inlineStr">
        <is>
          <t>du.ac.in</t>
        </is>
      </c>
      <c r="B21" s="6" t="inlineStr">
        <is>
          <t>edu</t>
        </is>
      </c>
      <c r="C21" s="6" t="n">
        <v>20</v>
      </c>
      <c r="D21" s="7" t="inlineStr">
        <is>
          <t>The right to nominate is disclosed.</t>
        </is>
      </c>
      <c r="E21" s="6" t="inlineStr">
        <is>
          <t>Act S.14</t>
        </is>
      </c>
      <c r="F21" s="6" t="inlineStr">
        <is>
          <t>yes</t>
        </is>
      </c>
      <c r="G21" s="6" t="inlineStr"/>
      <c r="H21" s="6" t="inlineStr"/>
      <c r="I21" s="8">
        <f>HYPERLINK("#'du.ac.in'!A1","read policy")</f>
        <v/>
      </c>
    </row>
    <row r="22">
      <c r="A22" s="6" t="inlineStr">
        <is>
          <t>du.ac.in</t>
        </is>
      </c>
      <c r="B22" s="6" t="inlineStr">
        <is>
          <t>edu</t>
        </is>
      </c>
      <c r="C22" s="6" t="n">
        <v>21</v>
      </c>
      <c r="D22" s="7" t="inlineStr">
        <is>
          <t>A reachable grievance officer or business contact for data queries is published.</t>
        </is>
      </c>
      <c r="E22" s="6" t="inlineStr">
        <is>
          <t>Act S.8(9)-(10), S.13</t>
        </is>
      </c>
      <c r="F22" s="6" t="inlineStr">
        <is>
          <t>yes</t>
        </is>
      </c>
      <c r="G22" s="6" t="inlineStr"/>
      <c r="H22" s="6" t="inlineStr"/>
      <c r="I22" s="8">
        <f>HYPERLINK("#'du.ac.in'!A1","read policy")</f>
        <v/>
      </c>
    </row>
    <row r="23">
      <c r="A23" s="6" t="inlineStr">
        <is>
          <t>du.ac.in</t>
        </is>
      </c>
      <c r="B23" s="6" t="inlineStr">
        <is>
          <t>edu</t>
        </is>
      </c>
      <c r="C23" s="6" t="n">
        <v>22</v>
      </c>
      <c r="D23" s="7" t="inlineStr">
        <is>
          <t>A Data Protection Officer is appointed and published (Significant Data Fiduciary).</t>
        </is>
      </c>
      <c r="E23" s="6" t="inlineStr">
        <is>
          <t>Rule 13; Act S.10</t>
        </is>
      </c>
      <c r="F23" s="6" t="inlineStr">
        <is>
          <t>yes</t>
        </is>
      </c>
      <c r="G23" s="6" t="inlineStr"/>
      <c r="H23" s="6" t="inlineStr"/>
      <c r="I23" s="8">
        <f>HYPERLINK("#'du.ac.in'!A1","read policy")</f>
        <v/>
      </c>
    </row>
    <row r="24">
      <c r="A24" s="6" t="inlineStr">
        <is>
          <t>du.ac.in</t>
        </is>
      </c>
      <c r="B24" s="6" t="inlineStr">
        <is>
          <t>edu</t>
        </is>
      </c>
      <c r="C24" s="6" t="n">
        <v>23</v>
      </c>
      <c r="D24" s="7" t="inlineStr">
        <is>
          <t>Processors engaged only under a valid contract.</t>
        </is>
      </c>
      <c r="E24" s="6" t="inlineStr">
        <is>
          <t>Act S.8(2)</t>
        </is>
      </c>
      <c r="F24" s="6" t="inlineStr">
        <is>
          <t>yes</t>
        </is>
      </c>
      <c r="G24" s="6" t="inlineStr"/>
      <c r="H24" s="6" t="inlineStr"/>
      <c r="I24" s="8">
        <f>HYPERLINK("#'du.ac.in'!A1","read policy")</f>
        <v/>
      </c>
    </row>
    <row r="25">
      <c r="A25" s="6" t="inlineStr">
        <is>
          <t>du.ac.in</t>
        </is>
      </c>
      <c r="B25" s="6" t="inlineStr">
        <is>
          <t>edu</t>
        </is>
      </c>
      <c r="C25" s="6" t="n">
        <v>24</v>
      </c>
      <c r="D25" s="7" t="inlineStr">
        <is>
          <t>Third parties / recipients of data sharing are disclosed.</t>
        </is>
      </c>
      <c r="E25" s="6" t="inlineStr">
        <is>
          <t>Act S.8(2)</t>
        </is>
      </c>
      <c r="F25" s="6" t="inlineStr">
        <is>
          <t>yes</t>
        </is>
      </c>
      <c r="G25" s="6" t="inlineStr"/>
      <c r="H25" s="6" t="inlineStr"/>
      <c r="I25" s="8">
        <f>HYPERLINK("#'du.ac.in'!A1","read policy")</f>
        <v/>
      </c>
    </row>
    <row r="26">
      <c r="A26" s="6" t="inlineStr">
        <is>
          <t>du.ac.in</t>
        </is>
      </c>
      <c r="B26" s="6" t="inlineStr">
        <is>
          <t>edu</t>
        </is>
      </c>
      <c r="C26" s="6" t="n">
        <v>25</v>
      </c>
      <c r="D26" s="7" t="inlineStr">
        <is>
          <t>Sub-processor oversight is addressed.</t>
        </is>
      </c>
      <c r="E26" s="6" t="inlineStr">
        <is>
          <t>Rule 6; Act S.8(2)</t>
        </is>
      </c>
      <c r="F26" s="6" t="inlineStr">
        <is>
          <t>yes</t>
        </is>
      </c>
      <c r="G26" s="6" t="inlineStr"/>
      <c r="H26" s="6" t="inlineStr"/>
      <c r="I26" s="8">
        <f>HYPERLINK("#'du.ac.in'!A1","read policy")</f>
        <v/>
      </c>
    </row>
    <row r="27">
      <c r="A27" s="6" t="inlineStr">
        <is>
          <t>du.ac.in</t>
        </is>
      </c>
      <c r="B27" s="6" t="inlineStr">
        <is>
          <t>edu</t>
        </is>
      </c>
      <c r="C27" s="6" t="n">
        <v>26</v>
      </c>
      <c r="D27" s="7" t="inlineStr">
        <is>
          <t>Security obligations flow down to processors.</t>
        </is>
      </c>
      <c r="E27" s="6" t="inlineStr">
        <is>
          <t>Rule 6; Act S.8(2)</t>
        </is>
      </c>
      <c r="F27" s="6" t="inlineStr">
        <is>
          <t>yes</t>
        </is>
      </c>
      <c r="G27" s="6" t="inlineStr"/>
      <c r="H27" s="6" t="inlineStr"/>
      <c r="I27" s="8">
        <f>HYPERLINK("#'du.ac.in'!A1","read policy")</f>
        <v/>
      </c>
    </row>
    <row r="28">
      <c r="A28" s="6" t="inlineStr">
        <is>
          <t>du.ac.in</t>
        </is>
      </c>
      <c r="B28" s="6" t="inlineStr">
        <is>
          <t>edu</t>
        </is>
      </c>
      <c r="C28" s="6" t="n">
        <v>27</v>
      </c>
      <c r="D28" s="7" t="inlineStr">
        <is>
          <t>Transfers of personal data outside India are disclosed.</t>
        </is>
      </c>
      <c r="E28" s="6" t="inlineStr">
        <is>
          <t>Act S.16</t>
        </is>
      </c>
      <c r="F28" s="6" t="inlineStr">
        <is>
          <t>yes</t>
        </is>
      </c>
      <c r="G28" s="6" t="inlineStr"/>
      <c r="H28" s="6" t="inlineStr"/>
      <c r="I28" s="8">
        <f>HYPERLINK("#'du.ac.in'!A1","read policy")</f>
        <v/>
      </c>
    </row>
    <row r="29">
      <c r="A29" s="6" t="inlineStr">
        <is>
          <t>du.ac.in</t>
        </is>
      </c>
      <c r="B29" s="6" t="inlineStr">
        <is>
          <t>edu</t>
        </is>
      </c>
      <c r="C29" s="6" t="n">
        <v>28</v>
      </c>
      <c r="D29" s="7" t="inlineStr">
        <is>
          <t>Compliance with any restricted-country notification is addressed.</t>
        </is>
      </c>
      <c r="E29" s="6" t="inlineStr">
        <is>
          <t>Act S.16</t>
        </is>
      </c>
      <c r="F29" s="6" t="inlineStr">
        <is>
          <t>yes</t>
        </is>
      </c>
      <c r="G29" s="6" t="inlineStr"/>
      <c r="H29" s="6" t="inlineStr"/>
      <c r="I29" s="8">
        <f>HYPERLINK("#'du.ac.in'!A1","read policy")</f>
        <v/>
      </c>
    </row>
    <row r="30">
      <c r="A30" s="6" t="inlineStr">
        <is>
          <t>du.ac.in</t>
        </is>
      </c>
      <c r="B30" s="6" t="inlineStr">
        <is>
          <t>edu</t>
        </is>
      </c>
      <c r="C30" s="6" t="n">
        <v>29</v>
      </c>
      <c r="D30" s="7" t="inlineStr">
        <is>
          <t>Data storage location is disclosed.</t>
        </is>
      </c>
      <c r="E30" s="6" t="inlineStr">
        <is>
          <t>Act S.16</t>
        </is>
      </c>
      <c r="F30" s="6" t="inlineStr">
        <is>
          <t>yes</t>
        </is>
      </c>
      <c r="G30" s="6" t="inlineStr"/>
      <c r="H30" s="6" t="inlineStr"/>
      <c r="I30" s="8">
        <f>HYPERLINK("#'du.ac.in'!A1","read policy")</f>
        <v/>
      </c>
    </row>
    <row r="31">
      <c r="A31" s="6" t="inlineStr">
        <is>
          <t>du.ac.in</t>
        </is>
      </c>
      <c r="B31" s="6" t="inlineStr">
        <is>
          <t>edu</t>
        </is>
      </c>
      <c r="C31" s="6" t="n">
        <v>30</v>
      </c>
      <c r="D31" s="7" t="inlineStr">
        <is>
          <t>A Data Protection Impact Assessment is undertaken (Significant Data Fiduciary).</t>
        </is>
      </c>
      <c r="E31" s="6" t="inlineStr">
        <is>
          <t>Rule 13; Act S.10</t>
        </is>
      </c>
      <c r="F31" s="6" t="inlineStr">
        <is>
          <t>yes</t>
        </is>
      </c>
      <c r="G31" s="6" t="inlineStr"/>
      <c r="H31" s="6" t="inlineStr"/>
      <c r="I31" s="8">
        <f>HYPERLINK("#'du.ac.in'!A1","read policy")</f>
        <v/>
      </c>
    </row>
    <row r="32">
      <c r="A32" s="6" t="inlineStr">
        <is>
          <t>du.ac.in</t>
        </is>
      </c>
      <c r="B32" s="6" t="inlineStr">
        <is>
          <t>edu</t>
        </is>
      </c>
      <c r="C32" s="6" t="n">
        <v>31</v>
      </c>
      <c r="D32" s="7" t="inlineStr">
        <is>
          <t>Privacy by design and periodic audit are addressed.</t>
        </is>
      </c>
      <c r="E32" s="6" t="inlineStr">
        <is>
          <t>Rule 13; Act S.8</t>
        </is>
      </c>
      <c r="F32" s="6" t="inlineStr">
        <is>
          <t>yes</t>
        </is>
      </c>
      <c r="G32" s="6" t="inlineStr"/>
      <c r="H32" s="6" t="inlineStr"/>
      <c r="I32" s="8">
        <f>HYPERLINK("#'du.ac.in'!A1","read policy")</f>
        <v/>
      </c>
    </row>
    <row r="33">
      <c r="A33" s="6" t="inlineStr">
        <is>
          <t>du.ac.in</t>
        </is>
      </c>
      <c r="B33" s="6" t="inlineStr">
        <is>
          <t>edu</t>
        </is>
      </c>
      <c r="C33" s="6" t="n">
        <v>32</v>
      </c>
      <c r="D33" s="7" t="inlineStr">
        <is>
          <t>Data-minimisation measures by design are addressed.</t>
        </is>
      </c>
      <c r="E33" s="6" t="inlineStr">
        <is>
          <t>Act S.8</t>
        </is>
      </c>
      <c r="F33" s="6" t="inlineStr">
        <is>
          <t>yes</t>
        </is>
      </c>
      <c r="G33" s="6" t="inlineStr"/>
      <c r="H33" s="6" t="inlineStr"/>
      <c r="I33" s="8">
        <f>HYPERLINK("#'du.ac.in'!A1","read policy")</f>
        <v/>
      </c>
    </row>
    <row r="34">
      <c r="A34" s="6" t="inlineStr">
        <is>
          <t>du.ac.in</t>
        </is>
      </c>
      <c r="B34" s="6" t="inlineStr">
        <is>
          <t>edu</t>
        </is>
      </c>
      <c r="C34" s="6" t="n">
        <v>33</v>
      </c>
      <c r="D34" s="7" t="inlineStr">
        <is>
          <t>A published privacy policy exists and is reachable.</t>
        </is>
      </c>
      <c r="E34" s="6" t="inlineStr">
        <is>
          <t>Rule 3; Act S.5</t>
        </is>
      </c>
      <c r="F34" s="6" t="inlineStr">
        <is>
          <t>yes</t>
        </is>
      </c>
      <c r="G34" s="6" t="inlineStr"/>
      <c r="H34" s="6" t="inlineStr"/>
      <c r="I34" s="8">
        <f>HYPERLINK("#'du.ac.in'!A1","read policy")</f>
        <v/>
      </c>
    </row>
    <row r="35">
      <c r="A35" s="6" t="inlineStr">
        <is>
          <t>du.ac.in</t>
        </is>
      </c>
      <c r="B35" s="6" t="inlineStr">
        <is>
          <t>edu</t>
        </is>
      </c>
      <c r="C35" s="6" t="n">
        <v>34</v>
      </c>
      <c r="D35" s="7" t="inlineStr">
        <is>
          <t>A cookie policy / tracker disclosure is published.</t>
        </is>
      </c>
      <c r="E35" s="6" t="inlineStr">
        <is>
          <t>Rule 3; Act S.5</t>
        </is>
      </c>
      <c r="F35" s="6" t="inlineStr">
        <is>
          <t>yes</t>
        </is>
      </c>
      <c r="G35" s="6" t="inlineStr"/>
      <c r="H35" s="6" t="inlineStr"/>
      <c r="I35" s="8">
        <f>HYPERLINK("#'du.ac.in'!A1","read policy")</f>
        <v/>
      </c>
    </row>
    <row r="36">
      <c r="A36" s="6" t="inlineStr">
        <is>
          <t>du.ac.in</t>
        </is>
      </c>
      <c r="B36" s="6" t="inlineStr">
        <is>
          <t>edu</t>
        </is>
      </c>
      <c r="C36" s="6" t="n">
        <v>35</v>
      </c>
      <c r="D36" s="7" t="inlineStr">
        <is>
          <t>Terms of service are published.</t>
        </is>
      </c>
      <c r="E36" s="6" t="inlineStr">
        <is>
          <t>Act S.5</t>
        </is>
      </c>
      <c r="F36" s="6" t="inlineStr">
        <is>
          <t>yes</t>
        </is>
      </c>
      <c r="G36" s="6" t="inlineStr"/>
      <c r="H36" s="6" t="inlineStr"/>
      <c r="I36" s="8">
        <f>HYPERLINK("#'du.ac.in'!A1","read policy")</f>
        <v/>
      </c>
    </row>
    <row r="37">
      <c r="A37" s="6" t="inlineStr">
        <is>
          <t>du.ac.in</t>
        </is>
      </c>
      <c r="B37" s="6" t="inlineStr">
        <is>
          <t>edu</t>
        </is>
      </c>
      <c r="C37" s="6" t="n">
        <v>36</v>
      </c>
      <c r="D37" s="7" t="inlineStr">
        <is>
          <t>Notice is available in an accessible form (and Indian languages where relevant).</t>
        </is>
      </c>
      <c r="E37" s="6" t="inlineStr">
        <is>
          <t>Rule 3; Act S.5</t>
        </is>
      </c>
      <c r="F37" s="6" t="inlineStr">
        <is>
          <t>yes</t>
        </is>
      </c>
      <c r="G37" s="6" t="inlineStr"/>
      <c r="H37" s="6" t="inlineStr"/>
      <c r="I37" s="8">
        <f>HYPERLINK("#'du.ac.in'!A1","read policy")</f>
        <v/>
      </c>
    </row>
    <row r="38">
      <c r="A38" s="6" t="inlineStr">
        <is>
          <t>du.ac.in</t>
        </is>
      </c>
      <c r="B38" s="6" t="inlineStr">
        <is>
          <t>edu</t>
        </is>
      </c>
      <c r="C38" s="6" t="n">
        <v>37</v>
      </c>
      <c r="D38" s="7" t="inlineStr">
        <is>
          <t>Registered office / entity contact details are published.</t>
        </is>
      </c>
      <c r="E38" s="6" t="inlineStr">
        <is>
          <t>Act S.8(9)</t>
        </is>
      </c>
      <c r="F38" s="6" t="inlineStr">
        <is>
          <t>yes</t>
        </is>
      </c>
      <c r="G38" s="6" t="inlineStr"/>
      <c r="H38" s="6" t="inlineStr"/>
      <c r="I38" s="8">
        <f>HYPERLINK("#'du.ac.in'!A1","read policy")</f>
        <v/>
      </c>
    </row>
    <row r="39">
      <c r="A39" s="6" t="inlineStr">
        <is>
          <t>du.ac.in</t>
        </is>
      </c>
      <c r="B39" s="6" t="inlineStr">
        <is>
          <t>edu</t>
        </is>
      </c>
      <c r="C39" s="6" t="n">
        <v>38</v>
      </c>
      <c r="D39" s="7" t="inlineStr">
        <is>
          <t>The site serves over HTTPS (encryption in transit).</t>
        </is>
      </c>
      <c r="E39" s="6" t="inlineStr">
        <is>
          <t>Rule 6; Act S.8(5)</t>
        </is>
      </c>
      <c r="F39" s="6" t="inlineStr">
        <is>
          <t>yes</t>
        </is>
      </c>
      <c r="G39" s="6" t="inlineStr"/>
      <c r="H39" s="6" t="inlineStr"/>
      <c r="I39" s="8">
        <f>HYPERLINK("#'du.ac.in'!A1","read policy")</f>
        <v/>
      </c>
    </row>
    <row r="40">
      <c r="A40" s="6" t="inlineStr">
        <is>
          <t>du.ac.in</t>
        </is>
      </c>
      <c r="B40" s="6" t="inlineStr">
        <is>
          <t>edu</t>
        </is>
      </c>
      <c r="C40" s="6" t="n">
        <v>39</v>
      </c>
      <c r="D40" s="7" t="inlineStr">
        <is>
          <t>Encryption at rest is disclosed.</t>
        </is>
      </c>
      <c r="E40" s="6" t="inlineStr">
        <is>
          <t>Rule 6; Act S.8(5)</t>
        </is>
      </c>
      <c r="F40" s="6" t="inlineStr">
        <is>
          <t>yes</t>
        </is>
      </c>
      <c r="G40" s="6" t="inlineStr"/>
      <c r="H40" s="6" t="inlineStr"/>
      <c r="I40" s="8">
        <f>HYPERLINK("#'du.ac.in'!A1","read policy")</f>
        <v/>
      </c>
    </row>
    <row r="41">
      <c r="A41" s="6" t="inlineStr">
        <is>
          <t>du.ac.in</t>
        </is>
      </c>
      <c r="B41" s="6" t="inlineStr">
        <is>
          <t>edu</t>
        </is>
      </c>
      <c r="C41" s="6" t="n">
        <v>40</v>
      </c>
      <c r="D41" s="7" t="inlineStr">
        <is>
          <t>Access controls and logging are disclosed.</t>
        </is>
      </c>
      <c r="E41" s="6" t="inlineStr">
        <is>
          <t>Rule 6; Act S.8(5)</t>
        </is>
      </c>
      <c r="F41" s="6" t="inlineStr">
        <is>
          <t>yes</t>
        </is>
      </c>
      <c r="G41" s="6" t="inlineStr"/>
      <c r="H41" s="6" t="inlineStr"/>
      <c r="I41" s="8">
        <f>HYPERLINK("#'du.ac.in'!A1","read policy")</f>
        <v/>
      </c>
    </row>
    <row r="42">
      <c r="A42" s="6" t="inlineStr">
        <is>
          <t>du.ac.in</t>
        </is>
      </c>
      <c r="B42" s="6" t="inlineStr">
        <is>
          <t>edu</t>
        </is>
      </c>
      <c r="C42" s="6" t="n">
        <v>41</v>
      </c>
      <c r="D42" s="7" t="inlineStr">
        <is>
          <t>An internal data-protection policy / governance is in place.</t>
        </is>
      </c>
      <c r="E42" s="6" t="inlineStr">
        <is>
          <t>Act S.8</t>
        </is>
      </c>
      <c r="F42" s="6" t="inlineStr">
        <is>
          <t>yes</t>
        </is>
      </c>
      <c r="G42" s="6" t="inlineStr"/>
      <c r="H42" s="6" t="inlineStr"/>
      <c r="I42" s="8">
        <f>HYPERLINK("#'du.ac.in'!A1","read policy")</f>
        <v/>
      </c>
    </row>
    <row r="43">
      <c r="A43" s="6" t="inlineStr">
        <is>
          <t>du.ac.in</t>
        </is>
      </c>
      <c r="B43" s="6" t="inlineStr">
        <is>
          <t>edu</t>
        </is>
      </c>
      <c r="C43" s="6" t="n">
        <v>42</v>
      </c>
      <c r="D43" s="7" t="inlineStr">
        <is>
          <t>Staff are trained on data protection.</t>
        </is>
      </c>
      <c r="E43" s="6" t="inlineStr">
        <is>
          <t>Act Rule 13</t>
        </is>
      </c>
      <c r="F43" s="6" t="inlineStr">
        <is>
          <t>yes</t>
        </is>
      </c>
      <c r="G43" s="6" t="inlineStr"/>
      <c r="H43" s="6" t="inlineStr"/>
      <c r="I43" s="8">
        <f>HYPERLINK("#'du.ac.in'!A1","read policy")</f>
        <v/>
      </c>
    </row>
    <row r="44">
      <c r="A44" s="6" t="inlineStr">
        <is>
          <t>du.ac.in</t>
        </is>
      </c>
      <c r="B44" s="6" t="inlineStr">
        <is>
          <t>edu</t>
        </is>
      </c>
      <c r="C44" s="6" t="n">
        <v>43</v>
      </c>
      <c r="D44" s="7" t="inlineStr">
        <is>
          <t>Records of processing activities are maintained.</t>
        </is>
      </c>
      <c r="E44" s="6" t="inlineStr">
        <is>
          <t>Act S.8</t>
        </is>
      </c>
      <c r="F44" s="6" t="inlineStr">
        <is>
          <t>yes</t>
        </is>
      </c>
      <c r="G44" s="6" t="inlineStr"/>
      <c r="H44" s="6" t="inlineStr"/>
      <c r="I44" s="8">
        <f>HYPERLINK("#'du.ac.in'!A1","read policy")</f>
        <v/>
      </c>
    </row>
    <row r="45">
      <c r="A45" s="6" t="inlineStr">
        <is>
          <t>du.ac.in</t>
        </is>
      </c>
      <c r="B45" s="6" t="inlineStr">
        <is>
          <t>edu</t>
        </is>
      </c>
      <c r="C45" s="6" t="n">
        <v>44</v>
      </c>
      <c r="D45" s="7" t="inlineStr">
        <is>
          <t>An incident-response plan exists.</t>
        </is>
      </c>
      <c r="E45" s="6" t="inlineStr">
        <is>
          <t>Rule 7; Act S.8(6)</t>
        </is>
      </c>
      <c r="F45" s="6" t="inlineStr">
        <is>
          <t>yes</t>
        </is>
      </c>
      <c r="G45" s="6" t="inlineStr"/>
      <c r="H45" s="6" t="inlineStr"/>
      <c r="I45" s="8">
        <f>HYPERLINK("#'du.ac.in'!A1","read policy")</f>
        <v/>
      </c>
    </row>
    <row r="46">
      <c r="A46" s="6" t="inlineStr">
        <is>
          <t>du.ac.in</t>
        </is>
      </c>
      <c r="B46" s="6" t="inlineStr">
        <is>
          <t>edu</t>
        </is>
      </c>
      <c r="C46" s="6" t="n">
        <v>45</v>
      </c>
      <c r="D46" s="7" t="inlineStr">
        <is>
          <t>Vendor / third-party risk management is addressed.</t>
        </is>
      </c>
      <c r="E46" s="6" t="inlineStr">
        <is>
          <t>Act Rule 6</t>
        </is>
      </c>
      <c r="F46" s="6" t="inlineStr">
        <is>
          <t>yes</t>
        </is>
      </c>
      <c r="G46" s="6" t="inlineStr"/>
      <c r="H46" s="6" t="inlineStr"/>
      <c r="I46" s="8">
        <f>HYPERLINK("#'du.ac.in'!A1","read policy")</f>
        <v/>
      </c>
    </row>
    <row r="47">
      <c r="A47" s="6" t="inlineStr">
        <is>
          <t>du.ac.in</t>
        </is>
      </c>
      <c r="B47" s="6" t="inlineStr">
        <is>
          <t>edu</t>
        </is>
      </c>
      <c r="C47" s="6" t="n">
        <v>46</v>
      </c>
      <c r="D47" s="7" t="inlineStr">
        <is>
          <t>Significant-Data-Fiduciary obligations / Board reporting are addressed where applicable.</t>
        </is>
      </c>
      <c r="E47" s="6" t="inlineStr">
        <is>
          <t>Rule 13; Act S.10</t>
        </is>
      </c>
      <c r="F47" s="6" t="inlineStr">
        <is>
          <t>yes</t>
        </is>
      </c>
      <c r="G47" s="6" t="inlineStr"/>
      <c r="H47" s="6" t="inlineStr"/>
      <c r="I47" s="8">
        <f>HYPERLINK("#'du.ac.in'!A1","read policy")</f>
        <v/>
      </c>
    </row>
    <row r="48">
      <c r="A48" s="6" t="inlineStr">
        <is>
          <t>du.ac.in</t>
        </is>
      </c>
      <c r="B48" s="6" t="inlineStr">
        <is>
          <t>edu</t>
        </is>
      </c>
      <c r="C48" s="6" t="n">
        <v>47</v>
      </c>
      <c r="D48" s="7" t="inlineStr">
        <is>
          <t>A periodic compliance review / audit is performed.</t>
        </is>
      </c>
      <c r="E48" s="6" t="inlineStr">
        <is>
          <t>Act Rule 13</t>
        </is>
      </c>
      <c r="F48" s="6" t="inlineStr">
        <is>
          <t>yes</t>
        </is>
      </c>
      <c r="G48" s="6" t="inlineStr"/>
      <c r="H48" s="6" t="inlineStr"/>
      <c r="I48" s="8">
        <f>HYPERLINK("#'du.ac.in'!A1","read policy")</f>
        <v/>
      </c>
    </row>
    <row r="49">
      <c r="A49" s="9" t="inlineStr">
        <is>
          <t>iima.ac.in</t>
        </is>
      </c>
      <c r="B49" s="9" t="inlineStr">
        <is>
          <t>edu</t>
        </is>
      </c>
      <c r="C49" s="9" t="n">
        <v>1</v>
      </c>
      <c r="D49" s="10" t="inlineStr">
        <is>
          <t>The notice itemises the categories of personal data collected, in plain language.</t>
        </is>
      </c>
      <c r="E49" s="9" t="inlineStr">
        <is>
          <t>Rule 3; Act S.5</t>
        </is>
      </c>
      <c r="F49" s="9" t="inlineStr">
        <is>
          <t>yes</t>
        </is>
      </c>
      <c r="G49" s="9" t="inlineStr"/>
      <c r="H49" s="9" t="inlineStr"/>
      <c r="I49" s="11">
        <f>HYPERLINK("#'iima.ac.in'!A1","read policy")</f>
        <v/>
      </c>
    </row>
    <row r="50">
      <c r="A50" s="9" t="inlineStr">
        <is>
          <t>iima.ac.in</t>
        </is>
      </c>
      <c r="B50" s="9" t="inlineStr">
        <is>
          <t>edu</t>
        </is>
      </c>
      <c r="C50" s="9" t="n">
        <v>2</v>
      </c>
      <c r="D50" s="10" t="inlineStr">
        <is>
          <t>A specific purpose is stated for the data collected; generic 'business purposes' is only Partial.</t>
        </is>
      </c>
      <c r="E50" s="9" t="inlineStr">
        <is>
          <t>Rule 3; Act S.6</t>
        </is>
      </c>
      <c r="F50" s="9" t="inlineStr">
        <is>
          <t>yes</t>
        </is>
      </c>
      <c r="G50" s="9" t="inlineStr"/>
      <c r="H50" s="9" t="inlineStr"/>
      <c r="I50" s="11">
        <f>HYPERLINK("#'iima.ac.in'!A1","read policy")</f>
        <v/>
      </c>
    </row>
    <row r="51">
      <c r="A51" s="9" t="inlineStr">
        <is>
          <t>iima.ac.in</t>
        </is>
      </c>
      <c r="B51" s="9" t="inlineStr">
        <is>
          <t>edu</t>
        </is>
      </c>
      <c r="C51" s="9" t="n">
        <v>3</v>
      </c>
      <c r="D51" s="10" t="inlineStr">
        <is>
          <t>The notice is clear, plain-language and understandable on its own.</t>
        </is>
      </c>
      <c r="E51" s="9" t="inlineStr">
        <is>
          <t>Rule 3; Act S.5</t>
        </is>
      </c>
      <c r="F51" s="9" t="inlineStr">
        <is>
          <t>yes</t>
        </is>
      </c>
      <c r="G51" s="9" t="inlineStr"/>
      <c r="H51" s="9" t="inlineStr"/>
      <c r="I51" s="11">
        <f>HYPERLINK("#'iima.ac.in'!A1","read policy")</f>
        <v/>
      </c>
    </row>
    <row r="52">
      <c r="A52" s="9" t="inlineStr">
        <is>
          <t>iima.ac.in</t>
        </is>
      </c>
      <c r="B52" s="9" t="inlineStr">
        <is>
          <t>edu</t>
        </is>
      </c>
      <c r="C52" s="9" t="n">
        <v>4</v>
      </c>
      <c r="D52" s="10" t="inlineStr">
        <is>
          <t>Processing is on a stated lawful basis (consent or a legitimate use).</t>
        </is>
      </c>
      <c r="E52" s="9" t="inlineStr">
        <is>
          <t>Act S.4</t>
        </is>
      </c>
      <c r="F52" s="9" t="inlineStr">
        <is>
          <t>yes</t>
        </is>
      </c>
      <c r="G52" s="9" t="inlineStr"/>
      <c r="H52" s="9" t="inlineStr"/>
      <c r="I52" s="11">
        <f>HYPERLINK("#'iima.ac.in'!A1","read policy")</f>
        <v/>
      </c>
    </row>
    <row r="53">
      <c r="A53" s="9" t="inlineStr">
        <is>
          <t>iima.ac.in</t>
        </is>
      </c>
      <c r="B53" s="9" t="inlineStr">
        <is>
          <t>edu</t>
        </is>
      </c>
      <c r="C53" s="9" t="n">
        <v>5</v>
      </c>
      <c r="D53" s="10" t="inlineStr">
        <is>
          <t>Collection is limited to data necessary for the specified purpose (purpose/data limitation).</t>
        </is>
      </c>
      <c r="E53" s="9" t="inlineStr">
        <is>
          <t>Act S.6(1)</t>
        </is>
      </c>
      <c r="F53" s="9" t="inlineStr">
        <is>
          <t>yes</t>
        </is>
      </c>
      <c r="G53" s="9" t="inlineStr"/>
      <c r="H53" s="9" t="inlineStr"/>
      <c r="I53" s="11">
        <f>HYPERLINK("#'iima.ac.in'!A1","read policy")</f>
        <v/>
      </c>
    </row>
    <row r="54">
      <c r="A54" s="9" t="inlineStr">
        <is>
          <t>iima.ac.in</t>
        </is>
      </c>
      <c r="B54" s="9" t="inlineStr">
        <is>
          <t>edu</t>
        </is>
      </c>
      <c r="C54" s="9" t="n">
        <v>6</v>
      </c>
      <c r="D54" s="10" t="inlineStr">
        <is>
          <t>If legitimate uses are relied upon, they fall within the Act's Section 7 categories.</t>
        </is>
      </c>
      <c r="E54" s="9" t="inlineStr">
        <is>
          <t>Act S.7</t>
        </is>
      </c>
      <c r="F54" s="9" t="inlineStr">
        <is>
          <t>yes</t>
        </is>
      </c>
      <c r="G54" s="9" t="inlineStr"/>
      <c r="H54" s="9" t="inlineStr"/>
      <c r="I54" s="11">
        <f>HYPERLINK("#'iima.ac.in'!A1","read policy")</f>
        <v/>
      </c>
    </row>
    <row r="55">
      <c r="A55" s="9" t="inlineStr">
        <is>
          <t>iima.ac.in</t>
        </is>
      </c>
      <c r="B55" s="9" t="inlineStr">
        <is>
          <t>edu</t>
        </is>
      </c>
      <c r="C55" s="9" t="n">
        <v>7</v>
      </c>
      <c r="D55" s="10" t="inlineStr">
        <is>
          <t>A commitment to keep personal data accurate, complete and up to date.</t>
        </is>
      </c>
      <c r="E55" s="9" t="inlineStr">
        <is>
          <t>Act S.8(3)</t>
        </is>
      </c>
      <c r="F55" s="9" t="inlineStr">
        <is>
          <t>yes</t>
        </is>
      </c>
      <c r="G55" s="9" t="inlineStr"/>
      <c r="H55" s="9" t="inlineStr"/>
      <c r="I55" s="11">
        <f>HYPERLINK("#'iima.ac.in'!A1","read policy")</f>
        <v/>
      </c>
    </row>
    <row r="56">
      <c r="A56" s="9" t="inlineStr">
        <is>
          <t>iima.ac.in</t>
        </is>
      </c>
      <c r="B56" s="9" t="inlineStr">
        <is>
          <t>edu</t>
        </is>
      </c>
      <c r="C56" s="9" t="n">
        <v>8</v>
      </c>
      <c r="D56" s="10" t="inlineStr">
        <is>
          <t>A retention period, or an 'erase when the purpose ends' commitment, is stated.</t>
        </is>
      </c>
      <c r="E56" s="9" t="inlineStr">
        <is>
          <t>Rule 8; Act S.8(7)-(8)</t>
        </is>
      </c>
      <c r="F56" s="9" t="inlineStr">
        <is>
          <t>yes</t>
        </is>
      </c>
      <c r="G56" s="9" t="inlineStr"/>
      <c r="H56" s="9" t="inlineStr"/>
      <c r="I56" s="11">
        <f>HYPERLINK("#'iima.ac.in'!A1","read policy")</f>
        <v/>
      </c>
    </row>
    <row r="57">
      <c r="A57" s="9" t="inlineStr">
        <is>
          <t>iima.ac.in</t>
        </is>
      </c>
      <c r="B57" s="9" t="inlineStr">
        <is>
          <t>edu</t>
        </is>
      </c>
      <c r="C57" s="9" t="n">
        <v>9</v>
      </c>
      <c r="D57" s="10" t="inlineStr">
        <is>
          <t>Reasonable security safeguards (encryption, access control) are disclosed.</t>
        </is>
      </c>
      <c r="E57" s="9" t="inlineStr">
        <is>
          <t>Rule 6; Act S.8(5)</t>
        </is>
      </c>
      <c r="F57" s="9" t="inlineStr">
        <is>
          <t>yes</t>
        </is>
      </c>
      <c r="G57" s="9" t="inlineStr"/>
      <c r="H57" s="9" t="inlineStr"/>
      <c r="I57" s="11">
        <f>HYPERLINK("#'iima.ac.in'!A1","read policy")</f>
        <v/>
      </c>
    </row>
    <row r="58">
      <c r="A58" s="9" t="inlineStr">
        <is>
          <t>iima.ac.in</t>
        </is>
      </c>
      <c r="B58" s="9" t="inlineStr">
        <is>
          <t>edu</t>
        </is>
      </c>
      <c r="C58" s="9" t="n">
        <v>10</v>
      </c>
      <c r="D58" s="10" t="inlineStr">
        <is>
          <t>A commitment to notify affected users and the Board of a personal-data breach.</t>
        </is>
      </c>
      <c r="E58" s="9" t="inlineStr">
        <is>
          <t>Rule 7; Act S.8(6)</t>
        </is>
      </c>
      <c r="F58" s="9" t="inlineStr">
        <is>
          <t>yes</t>
        </is>
      </c>
      <c r="G58" s="9" t="inlineStr"/>
      <c r="H58" s="9" t="inlineStr"/>
      <c r="I58" s="11">
        <f>HYPERLINK("#'iima.ac.in'!A1","read policy")</f>
        <v/>
      </c>
    </row>
    <row r="59">
      <c r="A59" s="9" t="inlineStr">
        <is>
          <t>iima.ac.in</t>
        </is>
      </c>
      <c r="B59" s="9" t="inlineStr">
        <is>
          <t>edu</t>
        </is>
      </c>
      <c r="C59" s="9" t="n">
        <v>11</v>
      </c>
      <c r="D59" s="10" t="inlineStr">
        <is>
          <t>Withdrawal of consent is offered and is as easy as giving it, with a route stated.</t>
        </is>
      </c>
      <c r="E59" s="9" t="inlineStr">
        <is>
          <t>Rule 3; Act S.6(4)</t>
        </is>
      </c>
      <c r="F59" s="9" t="inlineStr">
        <is>
          <t>yes</t>
        </is>
      </c>
      <c r="G59" s="9" t="inlineStr"/>
      <c r="H59" s="9" t="inlineStr"/>
      <c r="I59" s="11">
        <f>HYPERLINK("#'iima.ac.in'!A1","read policy")</f>
        <v/>
      </c>
    </row>
    <row r="60">
      <c r="A60" s="9" t="inlineStr">
        <is>
          <t>iima.ac.in</t>
        </is>
      </c>
      <c r="B60" s="9" t="inlineStr">
        <is>
          <t>edu</t>
        </is>
      </c>
      <c r="C60" s="9" t="n">
        <v>12</v>
      </c>
      <c r="D60" s="10" t="inlineStr">
        <is>
          <t>Consent is a clear affirmative action, unbundled, not pre-ticked or implied.</t>
        </is>
      </c>
      <c r="E60" s="9" t="inlineStr">
        <is>
          <t>Act S.6</t>
        </is>
      </c>
      <c r="F60" s="9" t="inlineStr">
        <is>
          <t>yes</t>
        </is>
      </c>
      <c r="G60" s="9" t="inlineStr"/>
      <c r="H60" s="9" t="inlineStr"/>
      <c r="I60" s="11">
        <f>HYPERLINK("#'iima.ac.in'!A1","read policy")</f>
        <v/>
      </c>
    </row>
    <row r="61">
      <c r="A61" s="9" t="inlineStr">
        <is>
          <t>iima.ac.in</t>
        </is>
      </c>
      <c r="B61" s="9" t="inlineStr">
        <is>
          <t>edu</t>
        </is>
      </c>
      <c r="C61" s="9" t="n">
        <v>13</v>
      </c>
      <c r="D61" s="10" t="inlineStr">
        <is>
          <t>The Consent Manager route is acknowledged where relevant.</t>
        </is>
      </c>
      <c r="E61" s="9" t="inlineStr">
        <is>
          <t>Rule 4; Act S.6(7)</t>
        </is>
      </c>
      <c r="F61" s="9" t="inlineStr">
        <is>
          <t>yes</t>
        </is>
      </c>
      <c r="G61" s="9" t="inlineStr"/>
      <c r="H61" s="9" t="inlineStr"/>
      <c r="I61" s="11">
        <f>HYPERLINK("#'iima.ac.in'!A1","read policy")</f>
        <v/>
      </c>
    </row>
    <row r="62">
      <c r="A62" s="9" t="inlineStr">
        <is>
          <t>iima.ac.in</t>
        </is>
      </c>
      <c r="B62" s="9" t="inlineStr">
        <is>
          <t>edu</t>
        </is>
      </c>
      <c r="C62" s="9" t="n">
        <v>14</v>
      </c>
      <c r="D62" s="10" t="inlineStr">
        <is>
          <t>Users can review consent given / records of consent are maintained.</t>
        </is>
      </c>
      <c r="E62" s="9" t="inlineStr">
        <is>
          <t>Act S.6(6)</t>
        </is>
      </c>
      <c r="F62" s="9" t="inlineStr">
        <is>
          <t>yes</t>
        </is>
      </c>
      <c r="G62" s="9" t="inlineStr"/>
      <c r="H62" s="9" t="inlineStr"/>
      <c r="I62" s="11">
        <f>HYPERLINK("#'iima.ac.in'!A1","read policy")</f>
        <v/>
      </c>
    </row>
    <row r="63">
      <c r="A63" s="9" t="inlineStr">
        <is>
          <t>iima.ac.in</t>
        </is>
      </c>
      <c r="B63" s="9" t="inlineStr">
        <is>
          <t>edu</t>
        </is>
      </c>
      <c r="C63" s="9" t="n">
        <v>15</v>
      </c>
      <c r="D63" s="10" t="inlineStr">
        <is>
          <t>Verifiable parental consent for under-18s, and no tracking, behavioural monitoring or targeted ads to children.</t>
        </is>
      </c>
      <c r="E63" s="9" t="inlineStr">
        <is>
          <t>Act S.9</t>
        </is>
      </c>
      <c r="F63" s="9" t="inlineStr">
        <is>
          <t>yes</t>
        </is>
      </c>
      <c r="G63" s="9" t="inlineStr"/>
      <c r="H63" s="9" t="inlineStr"/>
      <c r="I63" s="11">
        <f>HYPERLINK("#'iima.ac.in'!A1","read policy")</f>
        <v/>
      </c>
    </row>
    <row r="64">
      <c r="A64" s="9" t="inlineStr">
        <is>
          <t>iima.ac.in</t>
        </is>
      </c>
      <c r="B64" s="9" t="inlineStr">
        <is>
          <t>edu</t>
        </is>
      </c>
      <c r="C64" s="9" t="n">
        <v>16</v>
      </c>
      <c r="D64" s="10" t="inlineStr">
        <is>
          <t>The right to access a summary of personal data being processed is disclosed.</t>
        </is>
      </c>
      <c r="E64" s="9" t="inlineStr">
        <is>
          <t>Act S.11</t>
        </is>
      </c>
      <c r="F64" s="9" t="inlineStr">
        <is>
          <t>yes</t>
        </is>
      </c>
      <c r="G64" s="9" t="inlineStr"/>
      <c r="H64" s="9" t="inlineStr"/>
      <c r="I64" s="11">
        <f>HYPERLINK("#'iima.ac.in'!A1","read policy")</f>
        <v/>
      </c>
    </row>
    <row r="65">
      <c r="A65" s="9" t="inlineStr">
        <is>
          <t>iima.ac.in</t>
        </is>
      </c>
      <c r="B65" s="9" t="inlineStr">
        <is>
          <t>edu</t>
        </is>
      </c>
      <c r="C65" s="9" t="n">
        <v>17</v>
      </c>
      <c r="D65" s="10" t="inlineStr">
        <is>
          <t>The right to correction of personal data is disclosed.</t>
        </is>
      </c>
      <c r="E65" s="9" t="inlineStr">
        <is>
          <t>Act S.12</t>
        </is>
      </c>
      <c r="F65" s="9" t="inlineStr">
        <is>
          <t>yes</t>
        </is>
      </c>
      <c r="G65" s="9" t="inlineStr"/>
      <c r="H65" s="9" t="inlineStr"/>
      <c r="I65" s="11">
        <f>HYPERLINK("#'iima.ac.in'!A1","read policy")</f>
        <v/>
      </c>
    </row>
    <row r="66">
      <c r="A66" s="9" t="inlineStr">
        <is>
          <t>iima.ac.in</t>
        </is>
      </c>
      <c r="B66" s="9" t="inlineStr">
        <is>
          <t>edu</t>
        </is>
      </c>
      <c r="C66" s="9" t="n">
        <v>18</v>
      </c>
      <c r="D66" s="10" t="inlineStr">
        <is>
          <t>The right to erasure of personal data is disclosed.</t>
        </is>
      </c>
      <c r="E66" s="9" t="inlineStr">
        <is>
          <t>Act S.12</t>
        </is>
      </c>
      <c r="F66" s="9" t="inlineStr">
        <is>
          <t>yes</t>
        </is>
      </c>
      <c r="G66" s="9" t="inlineStr"/>
      <c r="H66" s="9" t="inlineStr"/>
      <c r="I66" s="11">
        <f>HYPERLINK("#'iima.ac.in'!A1","read policy")</f>
        <v/>
      </c>
    </row>
    <row r="67">
      <c r="A67" s="9" t="inlineStr">
        <is>
          <t>iima.ac.in</t>
        </is>
      </c>
      <c r="B67" s="9" t="inlineStr">
        <is>
          <t>edu</t>
        </is>
      </c>
      <c r="C67" s="9" t="n">
        <v>19</v>
      </c>
      <c r="D67" s="10" t="inlineStr">
        <is>
          <t>A readily available grievance-redressal route is disclosed.</t>
        </is>
      </c>
      <c r="E67" s="9" t="inlineStr">
        <is>
          <t>Act S.13</t>
        </is>
      </c>
      <c r="F67" s="9" t="inlineStr">
        <is>
          <t>yes</t>
        </is>
      </c>
      <c r="G67" s="9" t="inlineStr"/>
      <c r="H67" s="9" t="inlineStr"/>
      <c r="I67" s="11">
        <f>HYPERLINK("#'iima.ac.in'!A1","read policy")</f>
        <v/>
      </c>
    </row>
    <row r="68">
      <c r="A68" s="9" t="inlineStr">
        <is>
          <t>iima.ac.in</t>
        </is>
      </c>
      <c r="B68" s="9" t="inlineStr">
        <is>
          <t>edu</t>
        </is>
      </c>
      <c r="C68" s="9" t="n">
        <v>20</v>
      </c>
      <c r="D68" s="10" t="inlineStr">
        <is>
          <t>The right to nominate is disclosed.</t>
        </is>
      </c>
      <c r="E68" s="9" t="inlineStr">
        <is>
          <t>Act S.14</t>
        </is>
      </c>
      <c r="F68" s="9" t="inlineStr">
        <is>
          <t>yes</t>
        </is>
      </c>
      <c r="G68" s="9" t="inlineStr"/>
      <c r="H68" s="9" t="inlineStr"/>
      <c r="I68" s="11">
        <f>HYPERLINK("#'iima.ac.in'!A1","read policy")</f>
        <v/>
      </c>
    </row>
    <row r="69">
      <c r="A69" s="9" t="inlineStr">
        <is>
          <t>iima.ac.in</t>
        </is>
      </c>
      <c r="B69" s="9" t="inlineStr">
        <is>
          <t>edu</t>
        </is>
      </c>
      <c r="C69" s="9" t="n">
        <v>21</v>
      </c>
      <c r="D69" s="10" t="inlineStr">
        <is>
          <t>A reachable grievance officer or business contact for data queries is published.</t>
        </is>
      </c>
      <c r="E69" s="9" t="inlineStr">
        <is>
          <t>Act S.8(9)-(10), S.13</t>
        </is>
      </c>
      <c r="F69" s="9" t="inlineStr">
        <is>
          <t>yes</t>
        </is>
      </c>
      <c r="G69" s="9" t="inlineStr"/>
      <c r="H69" s="9" t="inlineStr"/>
      <c r="I69" s="11">
        <f>HYPERLINK("#'iima.ac.in'!A1","read policy")</f>
        <v/>
      </c>
    </row>
    <row r="70">
      <c r="A70" s="9" t="inlineStr">
        <is>
          <t>iima.ac.in</t>
        </is>
      </c>
      <c r="B70" s="9" t="inlineStr">
        <is>
          <t>edu</t>
        </is>
      </c>
      <c r="C70" s="9" t="n">
        <v>22</v>
      </c>
      <c r="D70" s="10" t="inlineStr">
        <is>
          <t>A Data Protection Officer is appointed and published (Significant Data Fiduciary).</t>
        </is>
      </c>
      <c r="E70" s="9" t="inlineStr">
        <is>
          <t>Rule 13; Act S.10</t>
        </is>
      </c>
      <c r="F70" s="9" t="inlineStr">
        <is>
          <t>yes</t>
        </is>
      </c>
      <c r="G70" s="9" t="inlineStr"/>
      <c r="H70" s="9" t="inlineStr"/>
      <c r="I70" s="11">
        <f>HYPERLINK("#'iima.ac.in'!A1","read policy")</f>
        <v/>
      </c>
    </row>
    <row r="71">
      <c r="A71" s="9" t="inlineStr">
        <is>
          <t>iima.ac.in</t>
        </is>
      </c>
      <c r="B71" s="9" t="inlineStr">
        <is>
          <t>edu</t>
        </is>
      </c>
      <c r="C71" s="9" t="n">
        <v>23</v>
      </c>
      <c r="D71" s="10" t="inlineStr">
        <is>
          <t>Processors engaged only under a valid contract.</t>
        </is>
      </c>
      <c r="E71" s="9" t="inlineStr">
        <is>
          <t>Act S.8(2)</t>
        </is>
      </c>
      <c r="F71" s="9" t="inlineStr">
        <is>
          <t>yes</t>
        </is>
      </c>
      <c r="G71" s="9" t="inlineStr"/>
      <c r="H71" s="9" t="inlineStr"/>
      <c r="I71" s="11">
        <f>HYPERLINK("#'iima.ac.in'!A1","read policy")</f>
        <v/>
      </c>
    </row>
    <row r="72">
      <c r="A72" s="9" t="inlineStr">
        <is>
          <t>iima.ac.in</t>
        </is>
      </c>
      <c r="B72" s="9" t="inlineStr">
        <is>
          <t>edu</t>
        </is>
      </c>
      <c r="C72" s="9" t="n">
        <v>24</v>
      </c>
      <c r="D72" s="10" t="inlineStr">
        <is>
          <t>Third parties / recipients of data sharing are disclosed.</t>
        </is>
      </c>
      <c r="E72" s="9" t="inlineStr">
        <is>
          <t>Act S.8(2)</t>
        </is>
      </c>
      <c r="F72" s="9" t="inlineStr">
        <is>
          <t>yes</t>
        </is>
      </c>
      <c r="G72" s="9" t="inlineStr"/>
      <c r="H72" s="9" t="inlineStr"/>
      <c r="I72" s="11">
        <f>HYPERLINK("#'iima.ac.in'!A1","read policy")</f>
        <v/>
      </c>
    </row>
    <row r="73">
      <c r="A73" s="9" t="inlineStr">
        <is>
          <t>iima.ac.in</t>
        </is>
      </c>
      <c r="B73" s="9" t="inlineStr">
        <is>
          <t>edu</t>
        </is>
      </c>
      <c r="C73" s="9" t="n">
        <v>25</v>
      </c>
      <c r="D73" s="10" t="inlineStr">
        <is>
          <t>Sub-processor oversight is addressed.</t>
        </is>
      </c>
      <c r="E73" s="9" t="inlineStr">
        <is>
          <t>Rule 6; Act S.8(2)</t>
        </is>
      </c>
      <c r="F73" s="9" t="inlineStr">
        <is>
          <t>yes</t>
        </is>
      </c>
      <c r="G73" s="9" t="inlineStr"/>
      <c r="H73" s="9" t="inlineStr"/>
      <c r="I73" s="11">
        <f>HYPERLINK("#'iima.ac.in'!A1","read policy")</f>
        <v/>
      </c>
    </row>
    <row r="74">
      <c r="A74" s="9" t="inlineStr">
        <is>
          <t>iima.ac.in</t>
        </is>
      </c>
      <c r="B74" s="9" t="inlineStr">
        <is>
          <t>edu</t>
        </is>
      </c>
      <c r="C74" s="9" t="n">
        <v>26</v>
      </c>
      <c r="D74" s="10" t="inlineStr">
        <is>
          <t>Security obligations flow down to processors.</t>
        </is>
      </c>
      <c r="E74" s="9" t="inlineStr">
        <is>
          <t>Rule 6; Act S.8(2)</t>
        </is>
      </c>
      <c r="F74" s="9" t="inlineStr">
        <is>
          <t>yes</t>
        </is>
      </c>
      <c r="G74" s="9" t="inlineStr"/>
      <c r="H74" s="9" t="inlineStr"/>
      <c r="I74" s="11">
        <f>HYPERLINK("#'iima.ac.in'!A1","read policy")</f>
        <v/>
      </c>
    </row>
    <row r="75">
      <c r="A75" s="9" t="inlineStr">
        <is>
          <t>iima.ac.in</t>
        </is>
      </c>
      <c r="B75" s="9" t="inlineStr">
        <is>
          <t>edu</t>
        </is>
      </c>
      <c r="C75" s="9" t="n">
        <v>27</v>
      </c>
      <c r="D75" s="10" t="inlineStr">
        <is>
          <t>Transfers of personal data outside India are disclosed.</t>
        </is>
      </c>
      <c r="E75" s="9" t="inlineStr">
        <is>
          <t>Act S.16</t>
        </is>
      </c>
      <c r="F75" s="9" t="inlineStr">
        <is>
          <t>yes</t>
        </is>
      </c>
      <c r="G75" s="9" t="inlineStr"/>
      <c r="H75" s="9" t="inlineStr"/>
      <c r="I75" s="11">
        <f>HYPERLINK("#'iima.ac.in'!A1","read policy")</f>
        <v/>
      </c>
    </row>
    <row r="76">
      <c r="A76" s="9" t="inlineStr">
        <is>
          <t>iima.ac.in</t>
        </is>
      </c>
      <c r="B76" s="9" t="inlineStr">
        <is>
          <t>edu</t>
        </is>
      </c>
      <c r="C76" s="9" t="n">
        <v>28</v>
      </c>
      <c r="D76" s="10" t="inlineStr">
        <is>
          <t>Compliance with any restricted-country notification is addressed.</t>
        </is>
      </c>
      <c r="E76" s="9" t="inlineStr">
        <is>
          <t>Act S.16</t>
        </is>
      </c>
      <c r="F76" s="9" t="inlineStr">
        <is>
          <t>yes</t>
        </is>
      </c>
      <c r="G76" s="9" t="inlineStr"/>
      <c r="H76" s="9" t="inlineStr"/>
      <c r="I76" s="11">
        <f>HYPERLINK("#'iima.ac.in'!A1","read policy")</f>
        <v/>
      </c>
    </row>
    <row r="77">
      <c r="A77" s="9" t="inlineStr">
        <is>
          <t>iima.ac.in</t>
        </is>
      </c>
      <c r="B77" s="9" t="inlineStr">
        <is>
          <t>edu</t>
        </is>
      </c>
      <c r="C77" s="9" t="n">
        <v>29</v>
      </c>
      <c r="D77" s="10" t="inlineStr">
        <is>
          <t>Data storage location is disclosed.</t>
        </is>
      </c>
      <c r="E77" s="9" t="inlineStr">
        <is>
          <t>Act S.16</t>
        </is>
      </c>
      <c r="F77" s="9" t="inlineStr">
        <is>
          <t>yes</t>
        </is>
      </c>
      <c r="G77" s="9" t="inlineStr"/>
      <c r="H77" s="9" t="inlineStr"/>
      <c r="I77" s="11">
        <f>HYPERLINK("#'iima.ac.in'!A1","read policy")</f>
        <v/>
      </c>
    </row>
    <row r="78">
      <c r="A78" s="9" t="inlineStr">
        <is>
          <t>iima.ac.in</t>
        </is>
      </c>
      <c r="B78" s="9" t="inlineStr">
        <is>
          <t>edu</t>
        </is>
      </c>
      <c r="C78" s="9" t="n">
        <v>30</v>
      </c>
      <c r="D78" s="10" t="inlineStr">
        <is>
          <t>A Data Protection Impact Assessment is undertaken (Significant Data Fiduciary).</t>
        </is>
      </c>
      <c r="E78" s="9" t="inlineStr">
        <is>
          <t>Rule 13; Act S.10</t>
        </is>
      </c>
      <c r="F78" s="9" t="inlineStr">
        <is>
          <t>yes</t>
        </is>
      </c>
      <c r="G78" s="9" t="inlineStr"/>
      <c r="H78" s="9" t="inlineStr"/>
      <c r="I78" s="11">
        <f>HYPERLINK("#'iima.ac.in'!A1","read policy")</f>
        <v/>
      </c>
    </row>
    <row r="79">
      <c r="A79" s="9" t="inlineStr">
        <is>
          <t>iima.ac.in</t>
        </is>
      </c>
      <c r="B79" s="9" t="inlineStr">
        <is>
          <t>edu</t>
        </is>
      </c>
      <c r="C79" s="9" t="n">
        <v>31</v>
      </c>
      <c r="D79" s="10" t="inlineStr">
        <is>
          <t>Privacy by design and periodic audit are addressed.</t>
        </is>
      </c>
      <c r="E79" s="9" t="inlineStr">
        <is>
          <t>Rule 13; Act S.8</t>
        </is>
      </c>
      <c r="F79" s="9" t="inlineStr">
        <is>
          <t>yes</t>
        </is>
      </c>
      <c r="G79" s="9" t="inlineStr"/>
      <c r="H79" s="9" t="inlineStr"/>
      <c r="I79" s="11">
        <f>HYPERLINK("#'iima.ac.in'!A1","read policy")</f>
        <v/>
      </c>
    </row>
    <row r="80">
      <c r="A80" s="9" t="inlineStr">
        <is>
          <t>iima.ac.in</t>
        </is>
      </c>
      <c r="B80" s="9" t="inlineStr">
        <is>
          <t>edu</t>
        </is>
      </c>
      <c r="C80" s="9" t="n">
        <v>32</v>
      </c>
      <c r="D80" s="10" t="inlineStr">
        <is>
          <t>Data-minimisation measures by design are addressed.</t>
        </is>
      </c>
      <c r="E80" s="9" t="inlineStr">
        <is>
          <t>Act S.8</t>
        </is>
      </c>
      <c r="F80" s="9" t="inlineStr">
        <is>
          <t>yes</t>
        </is>
      </c>
      <c r="G80" s="9" t="inlineStr"/>
      <c r="H80" s="9" t="inlineStr"/>
      <c r="I80" s="11">
        <f>HYPERLINK("#'iima.ac.in'!A1","read policy")</f>
        <v/>
      </c>
    </row>
    <row r="81">
      <c r="A81" s="9" t="inlineStr">
        <is>
          <t>iima.ac.in</t>
        </is>
      </c>
      <c r="B81" s="9" t="inlineStr">
        <is>
          <t>edu</t>
        </is>
      </c>
      <c r="C81" s="9" t="n">
        <v>33</v>
      </c>
      <c r="D81" s="10" t="inlineStr">
        <is>
          <t>A published privacy policy exists and is reachable.</t>
        </is>
      </c>
      <c r="E81" s="9" t="inlineStr">
        <is>
          <t>Rule 3; Act S.5</t>
        </is>
      </c>
      <c r="F81" s="9" t="inlineStr">
        <is>
          <t>yes</t>
        </is>
      </c>
      <c r="G81" s="9" t="inlineStr"/>
      <c r="H81" s="9" t="inlineStr"/>
      <c r="I81" s="11">
        <f>HYPERLINK("#'iima.ac.in'!A1","read policy")</f>
        <v/>
      </c>
    </row>
    <row r="82">
      <c r="A82" s="9" t="inlineStr">
        <is>
          <t>iima.ac.in</t>
        </is>
      </c>
      <c r="B82" s="9" t="inlineStr">
        <is>
          <t>edu</t>
        </is>
      </c>
      <c r="C82" s="9" t="n">
        <v>34</v>
      </c>
      <c r="D82" s="10" t="inlineStr">
        <is>
          <t>A cookie policy / tracker disclosure is published.</t>
        </is>
      </c>
      <c r="E82" s="9" t="inlineStr">
        <is>
          <t>Rule 3; Act S.5</t>
        </is>
      </c>
      <c r="F82" s="9" t="inlineStr">
        <is>
          <t>yes</t>
        </is>
      </c>
      <c r="G82" s="9" t="inlineStr"/>
      <c r="H82" s="9" t="inlineStr"/>
      <c r="I82" s="11">
        <f>HYPERLINK("#'iima.ac.in'!A1","read policy")</f>
        <v/>
      </c>
    </row>
    <row r="83">
      <c r="A83" s="9" t="inlineStr">
        <is>
          <t>iima.ac.in</t>
        </is>
      </c>
      <c r="B83" s="9" t="inlineStr">
        <is>
          <t>edu</t>
        </is>
      </c>
      <c r="C83" s="9" t="n">
        <v>35</v>
      </c>
      <c r="D83" s="10" t="inlineStr">
        <is>
          <t>Terms of service are published.</t>
        </is>
      </c>
      <c r="E83" s="9" t="inlineStr">
        <is>
          <t>Act S.5</t>
        </is>
      </c>
      <c r="F83" s="9" t="inlineStr">
        <is>
          <t>yes</t>
        </is>
      </c>
      <c r="G83" s="9" t="inlineStr"/>
      <c r="H83" s="9" t="inlineStr"/>
      <c r="I83" s="11">
        <f>HYPERLINK("#'iima.ac.in'!A1","read policy")</f>
        <v/>
      </c>
    </row>
    <row r="84">
      <c r="A84" s="9" t="inlineStr">
        <is>
          <t>iima.ac.in</t>
        </is>
      </c>
      <c r="B84" s="9" t="inlineStr">
        <is>
          <t>edu</t>
        </is>
      </c>
      <c r="C84" s="9" t="n">
        <v>36</v>
      </c>
      <c r="D84" s="10" t="inlineStr">
        <is>
          <t>Notice is available in an accessible form (and Indian languages where relevant).</t>
        </is>
      </c>
      <c r="E84" s="9" t="inlineStr">
        <is>
          <t>Rule 3; Act S.5</t>
        </is>
      </c>
      <c r="F84" s="9" t="inlineStr">
        <is>
          <t>yes</t>
        </is>
      </c>
      <c r="G84" s="9" t="inlineStr"/>
      <c r="H84" s="9" t="inlineStr"/>
      <c r="I84" s="11">
        <f>HYPERLINK("#'iima.ac.in'!A1","read policy")</f>
        <v/>
      </c>
    </row>
    <row r="85">
      <c r="A85" s="9" t="inlineStr">
        <is>
          <t>iima.ac.in</t>
        </is>
      </c>
      <c r="B85" s="9" t="inlineStr">
        <is>
          <t>edu</t>
        </is>
      </c>
      <c r="C85" s="9" t="n">
        <v>37</v>
      </c>
      <c r="D85" s="10" t="inlineStr">
        <is>
          <t>Registered office / entity contact details are published.</t>
        </is>
      </c>
      <c r="E85" s="9" t="inlineStr">
        <is>
          <t>Act S.8(9)</t>
        </is>
      </c>
      <c r="F85" s="9" t="inlineStr">
        <is>
          <t>yes</t>
        </is>
      </c>
      <c r="G85" s="9" t="inlineStr"/>
      <c r="H85" s="9" t="inlineStr"/>
      <c r="I85" s="11">
        <f>HYPERLINK("#'iima.ac.in'!A1","read policy")</f>
        <v/>
      </c>
    </row>
    <row r="86">
      <c r="A86" s="9" t="inlineStr">
        <is>
          <t>iima.ac.in</t>
        </is>
      </c>
      <c r="B86" s="9" t="inlineStr">
        <is>
          <t>edu</t>
        </is>
      </c>
      <c r="C86" s="9" t="n">
        <v>38</v>
      </c>
      <c r="D86" s="10" t="inlineStr">
        <is>
          <t>The site serves over HTTPS (encryption in transit).</t>
        </is>
      </c>
      <c r="E86" s="9" t="inlineStr">
        <is>
          <t>Rule 6; Act S.8(5)</t>
        </is>
      </c>
      <c r="F86" s="9" t="inlineStr">
        <is>
          <t>yes</t>
        </is>
      </c>
      <c r="G86" s="9" t="inlineStr"/>
      <c r="H86" s="9" t="inlineStr"/>
      <c r="I86" s="11">
        <f>HYPERLINK("#'iima.ac.in'!A1","read policy")</f>
        <v/>
      </c>
    </row>
    <row r="87">
      <c r="A87" s="9" t="inlineStr">
        <is>
          <t>iima.ac.in</t>
        </is>
      </c>
      <c r="B87" s="9" t="inlineStr">
        <is>
          <t>edu</t>
        </is>
      </c>
      <c r="C87" s="9" t="n">
        <v>39</v>
      </c>
      <c r="D87" s="10" t="inlineStr">
        <is>
          <t>Encryption at rest is disclosed.</t>
        </is>
      </c>
      <c r="E87" s="9" t="inlineStr">
        <is>
          <t>Rule 6; Act S.8(5)</t>
        </is>
      </c>
      <c r="F87" s="9" t="inlineStr">
        <is>
          <t>yes</t>
        </is>
      </c>
      <c r="G87" s="9" t="inlineStr"/>
      <c r="H87" s="9" t="inlineStr"/>
      <c r="I87" s="11">
        <f>HYPERLINK("#'iima.ac.in'!A1","read policy")</f>
        <v/>
      </c>
    </row>
    <row r="88">
      <c r="A88" s="9" t="inlineStr">
        <is>
          <t>iima.ac.in</t>
        </is>
      </c>
      <c r="B88" s="9" t="inlineStr">
        <is>
          <t>edu</t>
        </is>
      </c>
      <c r="C88" s="9" t="n">
        <v>40</v>
      </c>
      <c r="D88" s="10" t="inlineStr">
        <is>
          <t>Access controls and logging are disclosed.</t>
        </is>
      </c>
      <c r="E88" s="9" t="inlineStr">
        <is>
          <t>Rule 6; Act S.8(5)</t>
        </is>
      </c>
      <c r="F88" s="9" t="inlineStr">
        <is>
          <t>yes</t>
        </is>
      </c>
      <c r="G88" s="9" t="inlineStr"/>
      <c r="H88" s="9" t="inlineStr"/>
      <c r="I88" s="11">
        <f>HYPERLINK("#'iima.ac.in'!A1","read policy")</f>
        <v/>
      </c>
    </row>
    <row r="89">
      <c r="A89" s="9" t="inlineStr">
        <is>
          <t>iima.ac.in</t>
        </is>
      </c>
      <c r="B89" s="9" t="inlineStr">
        <is>
          <t>edu</t>
        </is>
      </c>
      <c r="C89" s="9" t="n">
        <v>41</v>
      </c>
      <c r="D89" s="10" t="inlineStr">
        <is>
          <t>An internal data-protection policy / governance is in place.</t>
        </is>
      </c>
      <c r="E89" s="9" t="inlineStr">
        <is>
          <t>Act S.8</t>
        </is>
      </c>
      <c r="F89" s="9" t="inlineStr">
        <is>
          <t>yes</t>
        </is>
      </c>
      <c r="G89" s="9" t="inlineStr"/>
      <c r="H89" s="9" t="inlineStr"/>
      <c r="I89" s="11">
        <f>HYPERLINK("#'iima.ac.in'!A1","read policy")</f>
        <v/>
      </c>
    </row>
    <row r="90">
      <c r="A90" s="9" t="inlineStr">
        <is>
          <t>iima.ac.in</t>
        </is>
      </c>
      <c r="B90" s="9" t="inlineStr">
        <is>
          <t>edu</t>
        </is>
      </c>
      <c r="C90" s="9" t="n">
        <v>42</v>
      </c>
      <c r="D90" s="10" t="inlineStr">
        <is>
          <t>Staff are trained on data protection.</t>
        </is>
      </c>
      <c r="E90" s="9" t="inlineStr">
        <is>
          <t>Act Rule 13</t>
        </is>
      </c>
      <c r="F90" s="9" t="inlineStr">
        <is>
          <t>yes</t>
        </is>
      </c>
      <c r="G90" s="9" t="inlineStr"/>
      <c r="H90" s="9" t="inlineStr"/>
      <c r="I90" s="11">
        <f>HYPERLINK("#'iima.ac.in'!A1","read policy")</f>
        <v/>
      </c>
    </row>
    <row r="91">
      <c r="A91" s="9" t="inlineStr">
        <is>
          <t>iima.ac.in</t>
        </is>
      </c>
      <c r="B91" s="9" t="inlineStr">
        <is>
          <t>edu</t>
        </is>
      </c>
      <c r="C91" s="9" t="n">
        <v>43</v>
      </c>
      <c r="D91" s="10" t="inlineStr">
        <is>
          <t>Records of processing activities are maintained.</t>
        </is>
      </c>
      <c r="E91" s="9" t="inlineStr">
        <is>
          <t>Act S.8</t>
        </is>
      </c>
      <c r="F91" s="9" t="inlineStr">
        <is>
          <t>yes</t>
        </is>
      </c>
      <c r="G91" s="9" t="inlineStr"/>
      <c r="H91" s="9" t="inlineStr"/>
      <c r="I91" s="11">
        <f>HYPERLINK("#'iima.ac.in'!A1","read policy")</f>
        <v/>
      </c>
    </row>
    <row r="92">
      <c r="A92" s="9" t="inlineStr">
        <is>
          <t>iima.ac.in</t>
        </is>
      </c>
      <c r="B92" s="9" t="inlineStr">
        <is>
          <t>edu</t>
        </is>
      </c>
      <c r="C92" s="9" t="n">
        <v>44</v>
      </c>
      <c r="D92" s="10" t="inlineStr">
        <is>
          <t>An incident-response plan exists.</t>
        </is>
      </c>
      <c r="E92" s="9" t="inlineStr">
        <is>
          <t>Rule 7; Act S.8(6)</t>
        </is>
      </c>
      <c r="F92" s="9" t="inlineStr">
        <is>
          <t>yes</t>
        </is>
      </c>
      <c r="G92" s="9" t="inlineStr"/>
      <c r="H92" s="9" t="inlineStr"/>
      <c r="I92" s="11">
        <f>HYPERLINK("#'iima.ac.in'!A1","read policy")</f>
        <v/>
      </c>
    </row>
    <row r="93">
      <c r="A93" s="9" t="inlineStr">
        <is>
          <t>iima.ac.in</t>
        </is>
      </c>
      <c r="B93" s="9" t="inlineStr">
        <is>
          <t>edu</t>
        </is>
      </c>
      <c r="C93" s="9" t="n">
        <v>45</v>
      </c>
      <c r="D93" s="10" t="inlineStr">
        <is>
          <t>Vendor / third-party risk management is addressed.</t>
        </is>
      </c>
      <c r="E93" s="9" t="inlineStr">
        <is>
          <t>Act Rule 6</t>
        </is>
      </c>
      <c r="F93" s="9" t="inlineStr">
        <is>
          <t>yes</t>
        </is>
      </c>
      <c r="G93" s="9" t="inlineStr"/>
      <c r="H93" s="9" t="inlineStr"/>
      <c r="I93" s="11">
        <f>HYPERLINK("#'iima.ac.in'!A1","read policy")</f>
        <v/>
      </c>
    </row>
    <row r="94">
      <c r="A94" s="9" t="inlineStr">
        <is>
          <t>iima.ac.in</t>
        </is>
      </c>
      <c r="B94" s="9" t="inlineStr">
        <is>
          <t>edu</t>
        </is>
      </c>
      <c r="C94" s="9" t="n">
        <v>46</v>
      </c>
      <c r="D94" s="10" t="inlineStr">
        <is>
          <t>Significant-Data-Fiduciary obligations / Board reporting are addressed where applicable.</t>
        </is>
      </c>
      <c r="E94" s="9" t="inlineStr">
        <is>
          <t>Rule 13; Act S.10</t>
        </is>
      </c>
      <c r="F94" s="9" t="inlineStr">
        <is>
          <t>yes</t>
        </is>
      </c>
      <c r="G94" s="9" t="inlineStr"/>
      <c r="H94" s="9" t="inlineStr"/>
      <c r="I94" s="11">
        <f>HYPERLINK("#'iima.ac.in'!A1","read policy")</f>
        <v/>
      </c>
    </row>
    <row r="95">
      <c r="A95" s="9" t="inlineStr">
        <is>
          <t>iima.ac.in</t>
        </is>
      </c>
      <c r="B95" s="9" t="inlineStr">
        <is>
          <t>edu</t>
        </is>
      </c>
      <c r="C95" s="9" t="n">
        <v>47</v>
      </c>
      <c r="D95" s="10" t="inlineStr">
        <is>
          <t>A periodic compliance review / audit is performed.</t>
        </is>
      </c>
      <c r="E95" s="9" t="inlineStr">
        <is>
          <t>Act Rule 13</t>
        </is>
      </c>
      <c r="F95" s="9" t="inlineStr">
        <is>
          <t>yes</t>
        </is>
      </c>
      <c r="G95" s="9" t="inlineStr"/>
      <c r="H95" s="9" t="inlineStr"/>
      <c r="I95" s="11">
        <f>HYPERLINK("#'iima.ac.in'!A1","read policy")</f>
        <v/>
      </c>
    </row>
    <row r="96">
      <c r="A96" s="6" t="inlineStr">
        <is>
          <t>jnu.ac.in</t>
        </is>
      </c>
      <c r="B96" s="6" t="inlineStr">
        <is>
          <t>edu</t>
        </is>
      </c>
      <c r="C96" s="6" t="n">
        <v>1</v>
      </c>
      <c r="D96" s="7" t="inlineStr">
        <is>
          <t>The notice itemises the categories of personal data collected, in plain language.</t>
        </is>
      </c>
      <c r="E96" s="6" t="inlineStr">
        <is>
          <t>Rule 3; Act S.5</t>
        </is>
      </c>
      <c r="F96" s="6" t="inlineStr">
        <is>
          <t>yes</t>
        </is>
      </c>
      <c r="G96" s="6" t="inlineStr"/>
      <c r="H96" s="6" t="inlineStr"/>
      <c r="I96" s="8">
        <f>HYPERLINK("#'jnu.ac.in'!A1","read policy")</f>
        <v/>
      </c>
    </row>
    <row r="97">
      <c r="A97" s="6" t="inlineStr">
        <is>
          <t>jnu.ac.in</t>
        </is>
      </c>
      <c r="B97" s="6" t="inlineStr">
        <is>
          <t>edu</t>
        </is>
      </c>
      <c r="C97" s="6" t="n">
        <v>2</v>
      </c>
      <c r="D97" s="7" t="inlineStr">
        <is>
          <t>A specific purpose is stated for the data collected; generic 'business purposes' is only Partial.</t>
        </is>
      </c>
      <c r="E97" s="6" t="inlineStr">
        <is>
          <t>Rule 3; Act S.6</t>
        </is>
      </c>
      <c r="F97" s="6" t="inlineStr">
        <is>
          <t>yes</t>
        </is>
      </c>
      <c r="G97" s="6" t="inlineStr"/>
      <c r="H97" s="6" t="inlineStr"/>
      <c r="I97" s="8">
        <f>HYPERLINK("#'jnu.ac.in'!A1","read policy")</f>
        <v/>
      </c>
    </row>
    <row r="98">
      <c r="A98" s="6" t="inlineStr">
        <is>
          <t>jnu.ac.in</t>
        </is>
      </c>
      <c r="B98" s="6" t="inlineStr">
        <is>
          <t>edu</t>
        </is>
      </c>
      <c r="C98" s="6" t="n">
        <v>3</v>
      </c>
      <c r="D98" s="7" t="inlineStr">
        <is>
          <t>The notice is clear, plain-language and understandable on its own.</t>
        </is>
      </c>
      <c r="E98" s="6" t="inlineStr">
        <is>
          <t>Rule 3; Act S.5</t>
        </is>
      </c>
      <c r="F98" s="6" t="inlineStr">
        <is>
          <t>yes</t>
        </is>
      </c>
      <c r="G98" s="6" t="inlineStr"/>
      <c r="H98" s="6" t="inlineStr"/>
      <c r="I98" s="8">
        <f>HYPERLINK("#'jnu.ac.in'!A1","read policy")</f>
        <v/>
      </c>
    </row>
    <row r="99">
      <c r="A99" s="6" t="inlineStr">
        <is>
          <t>jnu.ac.in</t>
        </is>
      </c>
      <c r="B99" s="6" t="inlineStr">
        <is>
          <t>edu</t>
        </is>
      </c>
      <c r="C99" s="6" t="n">
        <v>4</v>
      </c>
      <c r="D99" s="7" t="inlineStr">
        <is>
          <t>Processing is on a stated lawful basis (consent or a legitimate use).</t>
        </is>
      </c>
      <c r="E99" s="6" t="inlineStr">
        <is>
          <t>Act S.4</t>
        </is>
      </c>
      <c r="F99" s="6" t="inlineStr">
        <is>
          <t>yes</t>
        </is>
      </c>
      <c r="G99" s="6" t="inlineStr"/>
      <c r="H99" s="6" t="inlineStr"/>
      <c r="I99" s="8">
        <f>HYPERLINK("#'jnu.ac.in'!A1","read policy")</f>
        <v/>
      </c>
    </row>
    <row r="100">
      <c r="A100" s="6" t="inlineStr">
        <is>
          <t>jnu.ac.in</t>
        </is>
      </c>
      <c r="B100" s="6" t="inlineStr">
        <is>
          <t>edu</t>
        </is>
      </c>
      <c r="C100" s="6" t="n">
        <v>5</v>
      </c>
      <c r="D100" s="7" t="inlineStr">
        <is>
          <t>Collection is limited to data necessary for the specified purpose (purpose/data limitation).</t>
        </is>
      </c>
      <c r="E100" s="6" t="inlineStr">
        <is>
          <t>Act S.6(1)</t>
        </is>
      </c>
      <c r="F100" s="6" t="inlineStr">
        <is>
          <t>yes</t>
        </is>
      </c>
      <c r="G100" s="6" t="inlineStr"/>
      <c r="H100" s="6" t="inlineStr"/>
      <c r="I100" s="8">
        <f>HYPERLINK("#'jnu.ac.in'!A1","read policy")</f>
        <v/>
      </c>
    </row>
    <row r="101">
      <c r="A101" s="6" t="inlineStr">
        <is>
          <t>jnu.ac.in</t>
        </is>
      </c>
      <c r="B101" s="6" t="inlineStr">
        <is>
          <t>edu</t>
        </is>
      </c>
      <c r="C101" s="6" t="n">
        <v>6</v>
      </c>
      <c r="D101" s="7" t="inlineStr">
        <is>
          <t>If legitimate uses are relied upon, they fall within the Act's Section 7 categories.</t>
        </is>
      </c>
      <c r="E101" s="6" t="inlineStr">
        <is>
          <t>Act S.7</t>
        </is>
      </c>
      <c r="F101" s="6" t="inlineStr">
        <is>
          <t>yes</t>
        </is>
      </c>
      <c r="G101" s="6" t="inlineStr"/>
      <c r="H101" s="6" t="inlineStr"/>
      <c r="I101" s="8">
        <f>HYPERLINK("#'jnu.ac.in'!A1","read policy")</f>
        <v/>
      </c>
    </row>
    <row r="102">
      <c r="A102" s="6" t="inlineStr">
        <is>
          <t>jnu.ac.in</t>
        </is>
      </c>
      <c r="B102" s="6" t="inlineStr">
        <is>
          <t>edu</t>
        </is>
      </c>
      <c r="C102" s="6" t="n">
        <v>7</v>
      </c>
      <c r="D102" s="7" t="inlineStr">
        <is>
          <t>A commitment to keep personal data accurate, complete and up to date.</t>
        </is>
      </c>
      <c r="E102" s="6" t="inlineStr">
        <is>
          <t>Act S.8(3)</t>
        </is>
      </c>
      <c r="F102" s="6" t="inlineStr">
        <is>
          <t>yes</t>
        </is>
      </c>
      <c r="G102" s="6" t="inlineStr"/>
      <c r="H102" s="6" t="inlineStr"/>
      <c r="I102" s="8">
        <f>HYPERLINK("#'jnu.ac.in'!A1","read policy")</f>
        <v/>
      </c>
    </row>
    <row r="103">
      <c r="A103" s="6" t="inlineStr">
        <is>
          <t>jnu.ac.in</t>
        </is>
      </c>
      <c r="B103" s="6" t="inlineStr">
        <is>
          <t>edu</t>
        </is>
      </c>
      <c r="C103" s="6" t="n">
        <v>8</v>
      </c>
      <c r="D103" s="7" t="inlineStr">
        <is>
          <t>A retention period, or an 'erase when the purpose ends' commitment, is stated.</t>
        </is>
      </c>
      <c r="E103" s="6" t="inlineStr">
        <is>
          <t>Rule 8; Act S.8(7)-(8)</t>
        </is>
      </c>
      <c r="F103" s="6" t="inlineStr">
        <is>
          <t>yes</t>
        </is>
      </c>
      <c r="G103" s="6" t="inlineStr"/>
      <c r="H103" s="6" t="inlineStr"/>
      <c r="I103" s="8">
        <f>HYPERLINK("#'jnu.ac.in'!A1","read policy")</f>
        <v/>
      </c>
    </row>
    <row r="104">
      <c r="A104" s="6" t="inlineStr">
        <is>
          <t>jnu.ac.in</t>
        </is>
      </c>
      <c r="B104" s="6" t="inlineStr">
        <is>
          <t>edu</t>
        </is>
      </c>
      <c r="C104" s="6" t="n">
        <v>9</v>
      </c>
      <c r="D104" s="7" t="inlineStr">
        <is>
          <t>Reasonable security safeguards (encryption, access control) are disclosed.</t>
        </is>
      </c>
      <c r="E104" s="6" t="inlineStr">
        <is>
          <t>Rule 6; Act S.8(5)</t>
        </is>
      </c>
      <c r="F104" s="6" t="inlineStr">
        <is>
          <t>yes</t>
        </is>
      </c>
      <c r="G104" s="6" t="inlineStr"/>
      <c r="H104" s="6" t="inlineStr"/>
      <c r="I104" s="8">
        <f>HYPERLINK("#'jnu.ac.in'!A1","read policy")</f>
        <v/>
      </c>
    </row>
    <row r="105">
      <c r="A105" s="6" t="inlineStr">
        <is>
          <t>jnu.ac.in</t>
        </is>
      </c>
      <c r="B105" s="6" t="inlineStr">
        <is>
          <t>edu</t>
        </is>
      </c>
      <c r="C105" s="6" t="n">
        <v>10</v>
      </c>
      <c r="D105" s="7" t="inlineStr">
        <is>
          <t>A commitment to notify affected users and the Board of a personal-data breach.</t>
        </is>
      </c>
      <c r="E105" s="6" t="inlineStr">
        <is>
          <t>Rule 7; Act S.8(6)</t>
        </is>
      </c>
      <c r="F105" s="6" t="inlineStr">
        <is>
          <t>yes</t>
        </is>
      </c>
      <c r="G105" s="6" t="inlineStr"/>
      <c r="H105" s="6" t="inlineStr"/>
      <c r="I105" s="8">
        <f>HYPERLINK("#'jnu.ac.in'!A1","read policy")</f>
        <v/>
      </c>
    </row>
    <row r="106">
      <c r="A106" s="6" t="inlineStr">
        <is>
          <t>jnu.ac.in</t>
        </is>
      </c>
      <c r="B106" s="6" t="inlineStr">
        <is>
          <t>edu</t>
        </is>
      </c>
      <c r="C106" s="6" t="n">
        <v>11</v>
      </c>
      <c r="D106" s="7" t="inlineStr">
        <is>
          <t>Withdrawal of consent is offered and is as easy as giving it, with a route stated.</t>
        </is>
      </c>
      <c r="E106" s="6" t="inlineStr">
        <is>
          <t>Rule 3; Act S.6(4)</t>
        </is>
      </c>
      <c r="F106" s="6" t="inlineStr">
        <is>
          <t>yes</t>
        </is>
      </c>
      <c r="G106" s="6" t="inlineStr"/>
      <c r="H106" s="6" t="inlineStr"/>
      <c r="I106" s="8">
        <f>HYPERLINK("#'jnu.ac.in'!A1","read policy")</f>
        <v/>
      </c>
    </row>
    <row r="107">
      <c r="A107" s="6" t="inlineStr">
        <is>
          <t>jnu.ac.in</t>
        </is>
      </c>
      <c r="B107" s="6" t="inlineStr">
        <is>
          <t>edu</t>
        </is>
      </c>
      <c r="C107" s="6" t="n">
        <v>12</v>
      </c>
      <c r="D107" s="7" t="inlineStr">
        <is>
          <t>Consent is a clear affirmative action, unbundled, not pre-ticked or implied.</t>
        </is>
      </c>
      <c r="E107" s="6" t="inlineStr">
        <is>
          <t>Act S.6</t>
        </is>
      </c>
      <c r="F107" s="6" t="inlineStr">
        <is>
          <t>yes</t>
        </is>
      </c>
      <c r="G107" s="6" t="inlineStr"/>
      <c r="H107" s="6" t="inlineStr"/>
      <c r="I107" s="8">
        <f>HYPERLINK("#'jnu.ac.in'!A1","read policy")</f>
        <v/>
      </c>
    </row>
    <row r="108">
      <c r="A108" s="6" t="inlineStr">
        <is>
          <t>jnu.ac.in</t>
        </is>
      </c>
      <c r="B108" s="6" t="inlineStr">
        <is>
          <t>edu</t>
        </is>
      </c>
      <c r="C108" s="6" t="n">
        <v>13</v>
      </c>
      <c r="D108" s="7" t="inlineStr">
        <is>
          <t>The Consent Manager route is acknowledged where relevant.</t>
        </is>
      </c>
      <c r="E108" s="6" t="inlineStr">
        <is>
          <t>Rule 4; Act S.6(7)</t>
        </is>
      </c>
      <c r="F108" s="6" t="inlineStr">
        <is>
          <t>yes</t>
        </is>
      </c>
      <c r="G108" s="6" t="inlineStr"/>
      <c r="H108" s="6" t="inlineStr"/>
      <c r="I108" s="8">
        <f>HYPERLINK("#'jnu.ac.in'!A1","read policy")</f>
        <v/>
      </c>
    </row>
    <row r="109">
      <c r="A109" s="6" t="inlineStr">
        <is>
          <t>jnu.ac.in</t>
        </is>
      </c>
      <c r="B109" s="6" t="inlineStr">
        <is>
          <t>edu</t>
        </is>
      </c>
      <c r="C109" s="6" t="n">
        <v>14</v>
      </c>
      <c r="D109" s="7" t="inlineStr">
        <is>
          <t>Users can review consent given / records of consent are maintained.</t>
        </is>
      </c>
      <c r="E109" s="6" t="inlineStr">
        <is>
          <t>Act S.6(6)</t>
        </is>
      </c>
      <c r="F109" s="6" t="inlineStr">
        <is>
          <t>yes</t>
        </is>
      </c>
      <c r="G109" s="6" t="inlineStr"/>
      <c r="H109" s="6" t="inlineStr"/>
      <c r="I109" s="8">
        <f>HYPERLINK("#'jnu.ac.in'!A1","read policy")</f>
        <v/>
      </c>
    </row>
    <row r="110">
      <c r="A110" s="6" t="inlineStr">
        <is>
          <t>jnu.ac.in</t>
        </is>
      </c>
      <c r="B110" s="6" t="inlineStr">
        <is>
          <t>edu</t>
        </is>
      </c>
      <c r="C110" s="6" t="n">
        <v>15</v>
      </c>
      <c r="D110" s="7" t="inlineStr">
        <is>
          <t>Verifiable parental consent for under-18s, and no tracking, behavioural monitoring or targeted ads to children.</t>
        </is>
      </c>
      <c r="E110" s="6" t="inlineStr">
        <is>
          <t>Act S.9</t>
        </is>
      </c>
      <c r="F110" s="6" t="inlineStr">
        <is>
          <t>yes</t>
        </is>
      </c>
      <c r="G110" s="6" t="inlineStr"/>
      <c r="H110" s="6" t="inlineStr"/>
      <c r="I110" s="8">
        <f>HYPERLINK("#'jnu.ac.in'!A1","read policy")</f>
        <v/>
      </c>
    </row>
    <row r="111">
      <c r="A111" s="6" t="inlineStr">
        <is>
          <t>jnu.ac.in</t>
        </is>
      </c>
      <c r="B111" s="6" t="inlineStr">
        <is>
          <t>edu</t>
        </is>
      </c>
      <c r="C111" s="6" t="n">
        <v>16</v>
      </c>
      <c r="D111" s="7" t="inlineStr">
        <is>
          <t>The right to access a summary of personal data being processed is disclosed.</t>
        </is>
      </c>
      <c r="E111" s="6" t="inlineStr">
        <is>
          <t>Act S.11</t>
        </is>
      </c>
      <c r="F111" s="6" t="inlineStr">
        <is>
          <t>yes</t>
        </is>
      </c>
      <c r="G111" s="6" t="inlineStr"/>
      <c r="H111" s="6" t="inlineStr"/>
      <c r="I111" s="8">
        <f>HYPERLINK("#'jnu.ac.in'!A1","read policy")</f>
        <v/>
      </c>
    </row>
    <row r="112">
      <c r="A112" s="6" t="inlineStr">
        <is>
          <t>jnu.ac.in</t>
        </is>
      </c>
      <c r="B112" s="6" t="inlineStr">
        <is>
          <t>edu</t>
        </is>
      </c>
      <c r="C112" s="6" t="n">
        <v>17</v>
      </c>
      <c r="D112" s="7" t="inlineStr">
        <is>
          <t>The right to correction of personal data is disclosed.</t>
        </is>
      </c>
      <c r="E112" s="6" t="inlineStr">
        <is>
          <t>Act S.12</t>
        </is>
      </c>
      <c r="F112" s="6" t="inlineStr">
        <is>
          <t>yes</t>
        </is>
      </c>
      <c r="G112" s="6" t="inlineStr"/>
      <c r="H112" s="6" t="inlineStr"/>
      <c r="I112" s="8">
        <f>HYPERLINK("#'jnu.ac.in'!A1","read policy")</f>
        <v/>
      </c>
    </row>
    <row r="113">
      <c r="A113" s="6" t="inlineStr">
        <is>
          <t>jnu.ac.in</t>
        </is>
      </c>
      <c r="B113" s="6" t="inlineStr">
        <is>
          <t>edu</t>
        </is>
      </c>
      <c r="C113" s="6" t="n">
        <v>18</v>
      </c>
      <c r="D113" s="7" t="inlineStr">
        <is>
          <t>The right to erasure of personal data is disclosed.</t>
        </is>
      </c>
      <c r="E113" s="6" t="inlineStr">
        <is>
          <t>Act S.12</t>
        </is>
      </c>
      <c r="F113" s="6" t="inlineStr">
        <is>
          <t>yes</t>
        </is>
      </c>
      <c r="G113" s="6" t="inlineStr"/>
      <c r="H113" s="6" t="inlineStr"/>
      <c r="I113" s="8">
        <f>HYPERLINK("#'jnu.ac.in'!A1","read policy")</f>
        <v/>
      </c>
    </row>
    <row r="114">
      <c r="A114" s="6" t="inlineStr">
        <is>
          <t>jnu.ac.in</t>
        </is>
      </c>
      <c r="B114" s="6" t="inlineStr">
        <is>
          <t>edu</t>
        </is>
      </c>
      <c r="C114" s="6" t="n">
        <v>19</v>
      </c>
      <c r="D114" s="7" t="inlineStr">
        <is>
          <t>A readily available grievance-redressal route is disclosed.</t>
        </is>
      </c>
      <c r="E114" s="6" t="inlineStr">
        <is>
          <t>Act S.13</t>
        </is>
      </c>
      <c r="F114" s="6" t="inlineStr">
        <is>
          <t>yes</t>
        </is>
      </c>
      <c r="G114" s="6" t="inlineStr"/>
      <c r="H114" s="6" t="inlineStr"/>
      <c r="I114" s="8">
        <f>HYPERLINK("#'jnu.ac.in'!A1","read policy")</f>
        <v/>
      </c>
    </row>
    <row r="115">
      <c r="A115" s="6" t="inlineStr">
        <is>
          <t>jnu.ac.in</t>
        </is>
      </c>
      <c r="B115" s="6" t="inlineStr">
        <is>
          <t>edu</t>
        </is>
      </c>
      <c r="C115" s="6" t="n">
        <v>20</v>
      </c>
      <c r="D115" s="7" t="inlineStr">
        <is>
          <t>The right to nominate is disclosed.</t>
        </is>
      </c>
      <c r="E115" s="6" t="inlineStr">
        <is>
          <t>Act S.14</t>
        </is>
      </c>
      <c r="F115" s="6" t="inlineStr">
        <is>
          <t>yes</t>
        </is>
      </c>
      <c r="G115" s="6" t="inlineStr"/>
      <c r="H115" s="6" t="inlineStr"/>
      <c r="I115" s="8">
        <f>HYPERLINK("#'jnu.ac.in'!A1","read policy")</f>
        <v/>
      </c>
    </row>
    <row r="116">
      <c r="A116" s="6" t="inlineStr">
        <is>
          <t>jnu.ac.in</t>
        </is>
      </c>
      <c r="B116" s="6" t="inlineStr">
        <is>
          <t>edu</t>
        </is>
      </c>
      <c r="C116" s="6" t="n">
        <v>21</v>
      </c>
      <c r="D116" s="7" t="inlineStr">
        <is>
          <t>A reachable grievance officer or business contact for data queries is published.</t>
        </is>
      </c>
      <c r="E116" s="6" t="inlineStr">
        <is>
          <t>Act S.8(9)-(10), S.13</t>
        </is>
      </c>
      <c r="F116" s="6" t="inlineStr">
        <is>
          <t>yes</t>
        </is>
      </c>
      <c r="G116" s="6" t="inlineStr"/>
      <c r="H116" s="6" t="inlineStr"/>
      <c r="I116" s="8">
        <f>HYPERLINK("#'jnu.ac.in'!A1","read policy")</f>
        <v/>
      </c>
    </row>
    <row r="117">
      <c r="A117" s="6" t="inlineStr">
        <is>
          <t>jnu.ac.in</t>
        </is>
      </c>
      <c r="B117" s="6" t="inlineStr">
        <is>
          <t>edu</t>
        </is>
      </c>
      <c r="C117" s="6" t="n">
        <v>22</v>
      </c>
      <c r="D117" s="7" t="inlineStr">
        <is>
          <t>A Data Protection Officer is appointed and published (Significant Data Fiduciary).</t>
        </is>
      </c>
      <c r="E117" s="6" t="inlineStr">
        <is>
          <t>Rule 13; Act S.10</t>
        </is>
      </c>
      <c r="F117" s="6" t="inlineStr">
        <is>
          <t>yes</t>
        </is>
      </c>
      <c r="G117" s="6" t="inlineStr"/>
      <c r="H117" s="6" t="inlineStr"/>
      <c r="I117" s="8">
        <f>HYPERLINK("#'jnu.ac.in'!A1","read policy")</f>
        <v/>
      </c>
    </row>
    <row r="118">
      <c r="A118" s="6" t="inlineStr">
        <is>
          <t>jnu.ac.in</t>
        </is>
      </c>
      <c r="B118" s="6" t="inlineStr">
        <is>
          <t>edu</t>
        </is>
      </c>
      <c r="C118" s="6" t="n">
        <v>23</v>
      </c>
      <c r="D118" s="7" t="inlineStr">
        <is>
          <t>Processors engaged only under a valid contract.</t>
        </is>
      </c>
      <c r="E118" s="6" t="inlineStr">
        <is>
          <t>Act S.8(2)</t>
        </is>
      </c>
      <c r="F118" s="6" t="inlineStr">
        <is>
          <t>yes</t>
        </is>
      </c>
      <c r="G118" s="6" t="inlineStr"/>
      <c r="H118" s="6" t="inlineStr"/>
      <c r="I118" s="8">
        <f>HYPERLINK("#'jnu.ac.in'!A1","read policy")</f>
        <v/>
      </c>
    </row>
    <row r="119">
      <c r="A119" s="6" t="inlineStr">
        <is>
          <t>jnu.ac.in</t>
        </is>
      </c>
      <c r="B119" s="6" t="inlineStr">
        <is>
          <t>edu</t>
        </is>
      </c>
      <c r="C119" s="6" t="n">
        <v>24</v>
      </c>
      <c r="D119" s="7" t="inlineStr">
        <is>
          <t>Third parties / recipients of data sharing are disclosed.</t>
        </is>
      </c>
      <c r="E119" s="6" t="inlineStr">
        <is>
          <t>Act S.8(2)</t>
        </is>
      </c>
      <c r="F119" s="6" t="inlineStr">
        <is>
          <t>yes</t>
        </is>
      </c>
      <c r="G119" s="6" t="inlineStr"/>
      <c r="H119" s="6" t="inlineStr"/>
      <c r="I119" s="8">
        <f>HYPERLINK("#'jnu.ac.in'!A1","read policy")</f>
        <v/>
      </c>
    </row>
    <row r="120">
      <c r="A120" s="6" t="inlineStr">
        <is>
          <t>jnu.ac.in</t>
        </is>
      </c>
      <c r="B120" s="6" t="inlineStr">
        <is>
          <t>edu</t>
        </is>
      </c>
      <c r="C120" s="6" t="n">
        <v>25</v>
      </c>
      <c r="D120" s="7" t="inlineStr">
        <is>
          <t>Sub-processor oversight is addressed.</t>
        </is>
      </c>
      <c r="E120" s="6" t="inlineStr">
        <is>
          <t>Rule 6; Act S.8(2)</t>
        </is>
      </c>
      <c r="F120" s="6" t="inlineStr">
        <is>
          <t>yes</t>
        </is>
      </c>
      <c r="G120" s="6" t="inlineStr"/>
      <c r="H120" s="6" t="inlineStr"/>
      <c r="I120" s="8">
        <f>HYPERLINK("#'jnu.ac.in'!A1","read policy")</f>
        <v/>
      </c>
    </row>
    <row r="121">
      <c r="A121" s="6" t="inlineStr">
        <is>
          <t>jnu.ac.in</t>
        </is>
      </c>
      <c r="B121" s="6" t="inlineStr">
        <is>
          <t>edu</t>
        </is>
      </c>
      <c r="C121" s="6" t="n">
        <v>26</v>
      </c>
      <c r="D121" s="7" t="inlineStr">
        <is>
          <t>Security obligations flow down to processors.</t>
        </is>
      </c>
      <c r="E121" s="6" t="inlineStr">
        <is>
          <t>Rule 6; Act S.8(2)</t>
        </is>
      </c>
      <c r="F121" s="6" t="inlineStr">
        <is>
          <t>yes</t>
        </is>
      </c>
      <c r="G121" s="6" t="inlineStr"/>
      <c r="H121" s="6" t="inlineStr"/>
      <c r="I121" s="8">
        <f>HYPERLINK("#'jnu.ac.in'!A1","read policy")</f>
        <v/>
      </c>
    </row>
    <row r="122">
      <c r="A122" s="6" t="inlineStr">
        <is>
          <t>jnu.ac.in</t>
        </is>
      </c>
      <c r="B122" s="6" t="inlineStr">
        <is>
          <t>edu</t>
        </is>
      </c>
      <c r="C122" s="6" t="n">
        <v>27</v>
      </c>
      <c r="D122" s="7" t="inlineStr">
        <is>
          <t>Transfers of personal data outside India are disclosed.</t>
        </is>
      </c>
      <c r="E122" s="6" t="inlineStr">
        <is>
          <t>Act S.16</t>
        </is>
      </c>
      <c r="F122" s="6" t="inlineStr">
        <is>
          <t>yes</t>
        </is>
      </c>
      <c r="G122" s="6" t="inlineStr"/>
      <c r="H122" s="6" t="inlineStr"/>
      <c r="I122" s="8">
        <f>HYPERLINK("#'jnu.ac.in'!A1","read policy")</f>
        <v/>
      </c>
    </row>
    <row r="123">
      <c r="A123" s="6" t="inlineStr">
        <is>
          <t>jnu.ac.in</t>
        </is>
      </c>
      <c r="B123" s="6" t="inlineStr">
        <is>
          <t>edu</t>
        </is>
      </c>
      <c r="C123" s="6" t="n">
        <v>28</v>
      </c>
      <c r="D123" s="7" t="inlineStr">
        <is>
          <t>Compliance with any restricted-country notification is addressed.</t>
        </is>
      </c>
      <c r="E123" s="6" t="inlineStr">
        <is>
          <t>Act S.16</t>
        </is>
      </c>
      <c r="F123" s="6" t="inlineStr">
        <is>
          <t>yes</t>
        </is>
      </c>
      <c r="G123" s="6" t="inlineStr"/>
      <c r="H123" s="6" t="inlineStr"/>
      <c r="I123" s="8">
        <f>HYPERLINK("#'jnu.ac.in'!A1","read policy")</f>
        <v/>
      </c>
    </row>
    <row r="124">
      <c r="A124" s="6" t="inlineStr">
        <is>
          <t>jnu.ac.in</t>
        </is>
      </c>
      <c r="B124" s="6" t="inlineStr">
        <is>
          <t>edu</t>
        </is>
      </c>
      <c r="C124" s="6" t="n">
        <v>29</v>
      </c>
      <c r="D124" s="7" t="inlineStr">
        <is>
          <t>Data storage location is disclosed.</t>
        </is>
      </c>
      <c r="E124" s="6" t="inlineStr">
        <is>
          <t>Act S.16</t>
        </is>
      </c>
      <c r="F124" s="6" t="inlineStr">
        <is>
          <t>yes</t>
        </is>
      </c>
      <c r="G124" s="6" t="inlineStr"/>
      <c r="H124" s="6" t="inlineStr"/>
      <c r="I124" s="8">
        <f>HYPERLINK("#'jnu.ac.in'!A1","read policy")</f>
        <v/>
      </c>
    </row>
    <row r="125">
      <c r="A125" s="6" t="inlineStr">
        <is>
          <t>jnu.ac.in</t>
        </is>
      </c>
      <c r="B125" s="6" t="inlineStr">
        <is>
          <t>edu</t>
        </is>
      </c>
      <c r="C125" s="6" t="n">
        <v>30</v>
      </c>
      <c r="D125" s="7" t="inlineStr">
        <is>
          <t>A Data Protection Impact Assessment is undertaken (Significant Data Fiduciary).</t>
        </is>
      </c>
      <c r="E125" s="6" t="inlineStr">
        <is>
          <t>Rule 13; Act S.10</t>
        </is>
      </c>
      <c r="F125" s="6" t="inlineStr">
        <is>
          <t>yes</t>
        </is>
      </c>
      <c r="G125" s="6" t="inlineStr"/>
      <c r="H125" s="6" t="inlineStr"/>
      <c r="I125" s="8">
        <f>HYPERLINK("#'jnu.ac.in'!A1","read policy")</f>
        <v/>
      </c>
    </row>
    <row r="126">
      <c r="A126" s="6" t="inlineStr">
        <is>
          <t>jnu.ac.in</t>
        </is>
      </c>
      <c r="B126" s="6" t="inlineStr">
        <is>
          <t>edu</t>
        </is>
      </c>
      <c r="C126" s="6" t="n">
        <v>31</v>
      </c>
      <c r="D126" s="7" t="inlineStr">
        <is>
          <t>Privacy by design and periodic audit are addressed.</t>
        </is>
      </c>
      <c r="E126" s="6" t="inlineStr">
        <is>
          <t>Rule 13; Act S.8</t>
        </is>
      </c>
      <c r="F126" s="6" t="inlineStr">
        <is>
          <t>yes</t>
        </is>
      </c>
      <c r="G126" s="6" t="inlineStr"/>
      <c r="H126" s="6" t="inlineStr"/>
      <c r="I126" s="8">
        <f>HYPERLINK("#'jnu.ac.in'!A1","read policy")</f>
        <v/>
      </c>
    </row>
    <row r="127">
      <c r="A127" s="6" t="inlineStr">
        <is>
          <t>jnu.ac.in</t>
        </is>
      </c>
      <c r="B127" s="6" t="inlineStr">
        <is>
          <t>edu</t>
        </is>
      </c>
      <c r="C127" s="6" t="n">
        <v>32</v>
      </c>
      <c r="D127" s="7" t="inlineStr">
        <is>
          <t>Data-minimisation measures by design are addressed.</t>
        </is>
      </c>
      <c r="E127" s="6" t="inlineStr">
        <is>
          <t>Act S.8</t>
        </is>
      </c>
      <c r="F127" s="6" t="inlineStr">
        <is>
          <t>yes</t>
        </is>
      </c>
      <c r="G127" s="6" t="inlineStr"/>
      <c r="H127" s="6" t="inlineStr"/>
      <c r="I127" s="8">
        <f>HYPERLINK("#'jnu.ac.in'!A1","read policy")</f>
        <v/>
      </c>
    </row>
    <row r="128">
      <c r="A128" s="6" t="inlineStr">
        <is>
          <t>jnu.ac.in</t>
        </is>
      </c>
      <c r="B128" s="6" t="inlineStr">
        <is>
          <t>edu</t>
        </is>
      </c>
      <c r="C128" s="6" t="n">
        <v>33</v>
      </c>
      <c r="D128" s="7" t="inlineStr">
        <is>
          <t>A published privacy policy exists and is reachable.</t>
        </is>
      </c>
      <c r="E128" s="6" t="inlineStr">
        <is>
          <t>Rule 3; Act S.5</t>
        </is>
      </c>
      <c r="F128" s="6" t="inlineStr">
        <is>
          <t>yes</t>
        </is>
      </c>
      <c r="G128" s="6" t="inlineStr"/>
      <c r="H128" s="6" t="inlineStr"/>
      <c r="I128" s="8">
        <f>HYPERLINK("#'jnu.ac.in'!A1","read policy")</f>
        <v/>
      </c>
    </row>
    <row r="129">
      <c r="A129" s="6" t="inlineStr">
        <is>
          <t>jnu.ac.in</t>
        </is>
      </c>
      <c r="B129" s="6" t="inlineStr">
        <is>
          <t>edu</t>
        </is>
      </c>
      <c r="C129" s="6" t="n">
        <v>34</v>
      </c>
      <c r="D129" s="7" t="inlineStr">
        <is>
          <t>A cookie policy / tracker disclosure is published.</t>
        </is>
      </c>
      <c r="E129" s="6" t="inlineStr">
        <is>
          <t>Rule 3; Act S.5</t>
        </is>
      </c>
      <c r="F129" s="6" t="inlineStr">
        <is>
          <t>yes</t>
        </is>
      </c>
      <c r="G129" s="6" t="inlineStr"/>
      <c r="H129" s="6" t="inlineStr"/>
      <c r="I129" s="8">
        <f>HYPERLINK("#'jnu.ac.in'!A1","read policy")</f>
        <v/>
      </c>
    </row>
    <row r="130">
      <c r="A130" s="6" t="inlineStr">
        <is>
          <t>jnu.ac.in</t>
        </is>
      </c>
      <c r="B130" s="6" t="inlineStr">
        <is>
          <t>edu</t>
        </is>
      </c>
      <c r="C130" s="6" t="n">
        <v>35</v>
      </c>
      <c r="D130" s="7" t="inlineStr">
        <is>
          <t>Terms of service are published.</t>
        </is>
      </c>
      <c r="E130" s="6" t="inlineStr">
        <is>
          <t>Act S.5</t>
        </is>
      </c>
      <c r="F130" s="6" t="inlineStr">
        <is>
          <t>yes</t>
        </is>
      </c>
      <c r="G130" s="6" t="inlineStr"/>
      <c r="H130" s="6" t="inlineStr"/>
      <c r="I130" s="8">
        <f>HYPERLINK("#'jnu.ac.in'!A1","read policy")</f>
        <v/>
      </c>
    </row>
    <row r="131">
      <c r="A131" s="6" t="inlineStr">
        <is>
          <t>jnu.ac.in</t>
        </is>
      </c>
      <c r="B131" s="6" t="inlineStr">
        <is>
          <t>edu</t>
        </is>
      </c>
      <c r="C131" s="6" t="n">
        <v>36</v>
      </c>
      <c r="D131" s="7" t="inlineStr">
        <is>
          <t>Notice is available in an accessible form (and Indian languages where relevant).</t>
        </is>
      </c>
      <c r="E131" s="6" t="inlineStr">
        <is>
          <t>Rule 3; Act S.5</t>
        </is>
      </c>
      <c r="F131" s="6" t="inlineStr">
        <is>
          <t>yes</t>
        </is>
      </c>
      <c r="G131" s="6" t="inlineStr"/>
      <c r="H131" s="6" t="inlineStr"/>
      <c r="I131" s="8">
        <f>HYPERLINK("#'jnu.ac.in'!A1","read policy")</f>
        <v/>
      </c>
    </row>
    <row r="132">
      <c r="A132" s="6" t="inlineStr">
        <is>
          <t>jnu.ac.in</t>
        </is>
      </c>
      <c r="B132" s="6" t="inlineStr">
        <is>
          <t>edu</t>
        </is>
      </c>
      <c r="C132" s="6" t="n">
        <v>37</v>
      </c>
      <c r="D132" s="7" t="inlineStr">
        <is>
          <t>Registered office / entity contact details are published.</t>
        </is>
      </c>
      <c r="E132" s="6" t="inlineStr">
        <is>
          <t>Act S.8(9)</t>
        </is>
      </c>
      <c r="F132" s="6" t="inlineStr">
        <is>
          <t>yes</t>
        </is>
      </c>
      <c r="G132" s="6" t="inlineStr"/>
      <c r="H132" s="6" t="inlineStr"/>
      <c r="I132" s="8">
        <f>HYPERLINK("#'jnu.ac.in'!A1","read policy")</f>
        <v/>
      </c>
    </row>
    <row r="133">
      <c r="A133" s="6" t="inlineStr">
        <is>
          <t>jnu.ac.in</t>
        </is>
      </c>
      <c r="B133" s="6" t="inlineStr">
        <is>
          <t>edu</t>
        </is>
      </c>
      <c r="C133" s="6" t="n">
        <v>38</v>
      </c>
      <c r="D133" s="7" t="inlineStr">
        <is>
          <t>The site serves over HTTPS (encryption in transit).</t>
        </is>
      </c>
      <c r="E133" s="6" t="inlineStr">
        <is>
          <t>Rule 6; Act S.8(5)</t>
        </is>
      </c>
      <c r="F133" s="6" t="inlineStr">
        <is>
          <t>yes</t>
        </is>
      </c>
      <c r="G133" s="6" t="inlineStr"/>
      <c r="H133" s="6" t="inlineStr"/>
      <c r="I133" s="8">
        <f>HYPERLINK("#'jnu.ac.in'!A1","read policy")</f>
        <v/>
      </c>
    </row>
    <row r="134">
      <c r="A134" s="6" t="inlineStr">
        <is>
          <t>jnu.ac.in</t>
        </is>
      </c>
      <c r="B134" s="6" t="inlineStr">
        <is>
          <t>edu</t>
        </is>
      </c>
      <c r="C134" s="6" t="n">
        <v>39</v>
      </c>
      <c r="D134" s="7" t="inlineStr">
        <is>
          <t>Encryption at rest is disclosed.</t>
        </is>
      </c>
      <c r="E134" s="6" t="inlineStr">
        <is>
          <t>Rule 6; Act S.8(5)</t>
        </is>
      </c>
      <c r="F134" s="6" t="inlineStr">
        <is>
          <t>yes</t>
        </is>
      </c>
      <c r="G134" s="6" t="inlineStr"/>
      <c r="H134" s="6" t="inlineStr"/>
      <c r="I134" s="8">
        <f>HYPERLINK("#'jnu.ac.in'!A1","read policy")</f>
        <v/>
      </c>
    </row>
    <row r="135">
      <c r="A135" s="6" t="inlineStr">
        <is>
          <t>jnu.ac.in</t>
        </is>
      </c>
      <c r="B135" s="6" t="inlineStr">
        <is>
          <t>edu</t>
        </is>
      </c>
      <c r="C135" s="6" t="n">
        <v>40</v>
      </c>
      <c r="D135" s="7" t="inlineStr">
        <is>
          <t>Access controls and logging are disclosed.</t>
        </is>
      </c>
      <c r="E135" s="6" t="inlineStr">
        <is>
          <t>Rule 6; Act S.8(5)</t>
        </is>
      </c>
      <c r="F135" s="6" t="inlineStr">
        <is>
          <t>yes</t>
        </is>
      </c>
      <c r="G135" s="6" t="inlineStr"/>
      <c r="H135" s="6" t="inlineStr"/>
      <c r="I135" s="8">
        <f>HYPERLINK("#'jnu.ac.in'!A1","read policy")</f>
        <v/>
      </c>
    </row>
    <row r="136">
      <c r="A136" s="6" t="inlineStr">
        <is>
          <t>jnu.ac.in</t>
        </is>
      </c>
      <c r="B136" s="6" t="inlineStr">
        <is>
          <t>edu</t>
        </is>
      </c>
      <c r="C136" s="6" t="n">
        <v>41</v>
      </c>
      <c r="D136" s="7" t="inlineStr">
        <is>
          <t>An internal data-protection policy / governance is in place.</t>
        </is>
      </c>
      <c r="E136" s="6" t="inlineStr">
        <is>
          <t>Act S.8</t>
        </is>
      </c>
      <c r="F136" s="6" t="inlineStr">
        <is>
          <t>yes</t>
        </is>
      </c>
      <c r="G136" s="6" t="inlineStr"/>
      <c r="H136" s="6" t="inlineStr"/>
      <c r="I136" s="8">
        <f>HYPERLINK("#'jnu.ac.in'!A1","read policy")</f>
        <v/>
      </c>
    </row>
    <row r="137">
      <c r="A137" s="6" t="inlineStr">
        <is>
          <t>jnu.ac.in</t>
        </is>
      </c>
      <c r="B137" s="6" t="inlineStr">
        <is>
          <t>edu</t>
        </is>
      </c>
      <c r="C137" s="6" t="n">
        <v>42</v>
      </c>
      <c r="D137" s="7" t="inlineStr">
        <is>
          <t>Staff are trained on data protection.</t>
        </is>
      </c>
      <c r="E137" s="6" t="inlineStr">
        <is>
          <t>Act Rule 13</t>
        </is>
      </c>
      <c r="F137" s="6" t="inlineStr">
        <is>
          <t>yes</t>
        </is>
      </c>
      <c r="G137" s="6" t="inlineStr"/>
      <c r="H137" s="6" t="inlineStr"/>
      <c r="I137" s="8">
        <f>HYPERLINK("#'jnu.ac.in'!A1","read policy")</f>
        <v/>
      </c>
    </row>
    <row r="138">
      <c r="A138" s="6" t="inlineStr">
        <is>
          <t>jnu.ac.in</t>
        </is>
      </c>
      <c r="B138" s="6" t="inlineStr">
        <is>
          <t>edu</t>
        </is>
      </c>
      <c r="C138" s="6" t="n">
        <v>43</v>
      </c>
      <c r="D138" s="7" t="inlineStr">
        <is>
          <t>Records of processing activities are maintained.</t>
        </is>
      </c>
      <c r="E138" s="6" t="inlineStr">
        <is>
          <t>Act S.8</t>
        </is>
      </c>
      <c r="F138" s="6" t="inlineStr">
        <is>
          <t>yes</t>
        </is>
      </c>
      <c r="G138" s="6" t="inlineStr"/>
      <c r="H138" s="6" t="inlineStr"/>
      <c r="I138" s="8">
        <f>HYPERLINK("#'jnu.ac.in'!A1","read policy")</f>
        <v/>
      </c>
    </row>
    <row r="139">
      <c r="A139" s="6" t="inlineStr">
        <is>
          <t>jnu.ac.in</t>
        </is>
      </c>
      <c r="B139" s="6" t="inlineStr">
        <is>
          <t>edu</t>
        </is>
      </c>
      <c r="C139" s="6" t="n">
        <v>44</v>
      </c>
      <c r="D139" s="7" t="inlineStr">
        <is>
          <t>An incident-response plan exists.</t>
        </is>
      </c>
      <c r="E139" s="6" t="inlineStr">
        <is>
          <t>Rule 7; Act S.8(6)</t>
        </is>
      </c>
      <c r="F139" s="6" t="inlineStr">
        <is>
          <t>yes</t>
        </is>
      </c>
      <c r="G139" s="6" t="inlineStr"/>
      <c r="H139" s="6" t="inlineStr"/>
      <c r="I139" s="8">
        <f>HYPERLINK("#'jnu.ac.in'!A1","read policy")</f>
        <v/>
      </c>
    </row>
    <row r="140">
      <c r="A140" s="6" t="inlineStr">
        <is>
          <t>jnu.ac.in</t>
        </is>
      </c>
      <c r="B140" s="6" t="inlineStr">
        <is>
          <t>edu</t>
        </is>
      </c>
      <c r="C140" s="6" t="n">
        <v>45</v>
      </c>
      <c r="D140" s="7" t="inlineStr">
        <is>
          <t>Vendor / third-party risk management is addressed.</t>
        </is>
      </c>
      <c r="E140" s="6" t="inlineStr">
        <is>
          <t>Act Rule 6</t>
        </is>
      </c>
      <c r="F140" s="6" t="inlineStr">
        <is>
          <t>yes</t>
        </is>
      </c>
      <c r="G140" s="6" t="inlineStr"/>
      <c r="H140" s="6" t="inlineStr"/>
      <c r="I140" s="8">
        <f>HYPERLINK("#'jnu.ac.in'!A1","read policy")</f>
        <v/>
      </c>
    </row>
    <row r="141">
      <c r="A141" s="6" t="inlineStr">
        <is>
          <t>jnu.ac.in</t>
        </is>
      </c>
      <c r="B141" s="6" t="inlineStr">
        <is>
          <t>edu</t>
        </is>
      </c>
      <c r="C141" s="6" t="n">
        <v>46</v>
      </c>
      <c r="D141" s="7" t="inlineStr">
        <is>
          <t>Significant-Data-Fiduciary obligations / Board reporting are addressed where applicable.</t>
        </is>
      </c>
      <c r="E141" s="6" t="inlineStr">
        <is>
          <t>Rule 13; Act S.10</t>
        </is>
      </c>
      <c r="F141" s="6" t="inlineStr">
        <is>
          <t>yes</t>
        </is>
      </c>
      <c r="G141" s="6" t="inlineStr"/>
      <c r="H141" s="6" t="inlineStr"/>
      <c r="I141" s="8">
        <f>HYPERLINK("#'jnu.ac.in'!A1","read policy")</f>
        <v/>
      </c>
    </row>
    <row r="142">
      <c r="A142" s="6" t="inlineStr">
        <is>
          <t>jnu.ac.in</t>
        </is>
      </c>
      <c r="B142" s="6" t="inlineStr">
        <is>
          <t>edu</t>
        </is>
      </c>
      <c r="C142" s="6" t="n">
        <v>47</v>
      </c>
      <c r="D142" s="7" t="inlineStr">
        <is>
          <t>A periodic compliance review / audit is performed.</t>
        </is>
      </c>
      <c r="E142" s="6" t="inlineStr">
        <is>
          <t>Act Rule 13</t>
        </is>
      </c>
      <c r="F142" s="6" t="inlineStr">
        <is>
          <t>yes</t>
        </is>
      </c>
      <c r="G142" s="6" t="inlineStr"/>
      <c r="H142" s="6" t="inlineStr"/>
      <c r="I142" s="8">
        <f>HYPERLINK("#'jnu.ac.in'!A1","read policy")</f>
        <v/>
      </c>
    </row>
    <row r="143">
      <c r="A143" s="9" t="inlineStr">
        <is>
          <t>akshayapatra.org</t>
        </is>
      </c>
      <c r="B143" s="9" t="inlineStr">
        <is>
          <t>ngo</t>
        </is>
      </c>
      <c r="C143" s="9" t="n">
        <v>1</v>
      </c>
      <c r="D143" s="10" t="inlineStr">
        <is>
          <t>The notice itemises the categories of personal data collected, in plain language.</t>
        </is>
      </c>
      <c r="E143" s="9" t="inlineStr">
        <is>
          <t>Rule 3; Act S.5</t>
        </is>
      </c>
      <c r="F143" s="9" t="inlineStr">
        <is>
          <t>yes</t>
        </is>
      </c>
      <c r="G143" s="9" t="inlineStr"/>
      <c r="H143" s="9" t="inlineStr"/>
      <c r="I143" s="11">
        <f>HYPERLINK("#'akshayapatra.org'!A1","read policy")</f>
        <v/>
      </c>
    </row>
    <row r="144">
      <c r="A144" s="9" t="inlineStr">
        <is>
          <t>akshayapatra.org</t>
        </is>
      </c>
      <c r="B144" s="9" t="inlineStr">
        <is>
          <t>ngo</t>
        </is>
      </c>
      <c r="C144" s="9" t="n">
        <v>2</v>
      </c>
      <c r="D144" s="10" t="inlineStr">
        <is>
          <t>A specific purpose is stated for the data collected; generic 'business purposes' is only Partial.</t>
        </is>
      </c>
      <c r="E144" s="9" t="inlineStr">
        <is>
          <t>Rule 3; Act S.6</t>
        </is>
      </c>
      <c r="F144" s="9" t="inlineStr">
        <is>
          <t>yes</t>
        </is>
      </c>
      <c r="G144" s="9" t="inlineStr"/>
      <c r="H144" s="9" t="inlineStr"/>
      <c r="I144" s="11">
        <f>HYPERLINK("#'akshayapatra.org'!A1","read policy")</f>
        <v/>
      </c>
    </row>
    <row r="145">
      <c r="A145" s="9" t="inlineStr">
        <is>
          <t>akshayapatra.org</t>
        </is>
      </c>
      <c r="B145" s="9" t="inlineStr">
        <is>
          <t>ngo</t>
        </is>
      </c>
      <c r="C145" s="9" t="n">
        <v>3</v>
      </c>
      <c r="D145" s="10" t="inlineStr">
        <is>
          <t>The notice is clear, plain-language and understandable on its own.</t>
        </is>
      </c>
      <c r="E145" s="9" t="inlineStr">
        <is>
          <t>Rule 3; Act S.5</t>
        </is>
      </c>
      <c r="F145" s="9" t="inlineStr">
        <is>
          <t>yes</t>
        </is>
      </c>
      <c r="G145" s="9" t="inlineStr"/>
      <c r="H145" s="9" t="inlineStr"/>
      <c r="I145" s="11">
        <f>HYPERLINK("#'akshayapatra.org'!A1","read policy")</f>
        <v/>
      </c>
    </row>
    <row r="146">
      <c r="A146" s="9" t="inlineStr">
        <is>
          <t>akshayapatra.org</t>
        </is>
      </c>
      <c r="B146" s="9" t="inlineStr">
        <is>
          <t>ngo</t>
        </is>
      </c>
      <c r="C146" s="9" t="n">
        <v>4</v>
      </c>
      <c r="D146" s="10" t="inlineStr">
        <is>
          <t>Processing is on a stated lawful basis (consent or a legitimate use).</t>
        </is>
      </c>
      <c r="E146" s="9" t="inlineStr">
        <is>
          <t>Act S.4</t>
        </is>
      </c>
      <c r="F146" s="9" t="inlineStr">
        <is>
          <t>yes</t>
        </is>
      </c>
      <c r="G146" s="9" t="inlineStr"/>
      <c r="H146" s="9" t="inlineStr"/>
      <c r="I146" s="11">
        <f>HYPERLINK("#'akshayapatra.org'!A1","read policy")</f>
        <v/>
      </c>
    </row>
    <row r="147">
      <c r="A147" s="9" t="inlineStr">
        <is>
          <t>akshayapatra.org</t>
        </is>
      </c>
      <c r="B147" s="9" t="inlineStr">
        <is>
          <t>ngo</t>
        </is>
      </c>
      <c r="C147" s="9" t="n">
        <v>5</v>
      </c>
      <c r="D147" s="10" t="inlineStr">
        <is>
          <t>Collection is limited to data necessary for the specified purpose (purpose/data limitation).</t>
        </is>
      </c>
      <c r="E147" s="9" t="inlineStr">
        <is>
          <t>Act S.6(1)</t>
        </is>
      </c>
      <c r="F147" s="9" t="inlineStr">
        <is>
          <t>yes</t>
        </is>
      </c>
      <c r="G147" s="9" t="inlineStr"/>
      <c r="H147" s="9" t="inlineStr"/>
      <c r="I147" s="11">
        <f>HYPERLINK("#'akshayapatra.org'!A1","read policy")</f>
        <v/>
      </c>
    </row>
    <row r="148">
      <c r="A148" s="9" t="inlineStr">
        <is>
          <t>akshayapatra.org</t>
        </is>
      </c>
      <c r="B148" s="9" t="inlineStr">
        <is>
          <t>ngo</t>
        </is>
      </c>
      <c r="C148" s="9" t="n">
        <v>6</v>
      </c>
      <c r="D148" s="10" t="inlineStr">
        <is>
          <t>If legitimate uses are relied upon, they fall within the Act's Section 7 categories.</t>
        </is>
      </c>
      <c r="E148" s="9" t="inlineStr">
        <is>
          <t>Act S.7</t>
        </is>
      </c>
      <c r="F148" s="9" t="inlineStr">
        <is>
          <t>yes</t>
        </is>
      </c>
      <c r="G148" s="9" t="inlineStr"/>
      <c r="H148" s="9" t="inlineStr"/>
      <c r="I148" s="11">
        <f>HYPERLINK("#'akshayapatra.org'!A1","read policy")</f>
        <v/>
      </c>
    </row>
    <row r="149">
      <c r="A149" s="9" t="inlineStr">
        <is>
          <t>akshayapatra.org</t>
        </is>
      </c>
      <c r="B149" s="9" t="inlineStr">
        <is>
          <t>ngo</t>
        </is>
      </c>
      <c r="C149" s="9" t="n">
        <v>7</v>
      </c>
      <c r="D149" s="10" t="inlineStr">
        <is>
          <t>A commitment to keep personal data accurate, complete and up to date.</t>
        </is>
      </c>
      <c r="E149" s="9" t="inlineStr">
        <is>
          <t>Act S.8(3)</t>
        </is>
      </c>
      <c r="F149" s="9" t="inlineStr">
        <is>
          <t>yes</t>
        </is>
      </c>
      <c r="G149" s="9" t="inlineStr"/>
      <c r="H149" s="9" t="inlineStr"/>
      <c r="I149" s="11">
        <f>HYPERLINK("#'akshayapatra.org'!A1","read policy")</f>
        <v/>
      </c>
    </row>
    <row r="150">
      <c r="A150" s="9" t="inlineStr">
        <is>
          <t>akshayapatra.org</t>
        </is>
      </c>
      <c r="B150" s="9" t="inlineStr">
        <is>
          <t>ngo</t>
        </is>
      </c>
      <c r="C150" s="9" t="n">
        <v>8</v>
      </c>
      <c r="D150" s="10" t="inlineStr">
        <is>
          <t>A retention period, or an 'erase when the purpose ends' commitment, is stated.</t>
        </is>
      </c>
      <c r="E150" s="9" t="inlineStr">
        <is>
          <t>Rule 8; Act S.8(7)-(8)</t>
        </is>
      </c>
      <c r="F150" s="9" t="inlineStr">
        <is>
          <t>yes</t>
        </is>
      </c>
      <c r="G150" s="9" t="inlineStr"/>
      <c r="H150" s="9" t="inlineStr"/>
      <c r="I150" s="11">
        <f>HYPERLINK("#'akshayapatra.org'!A1","read policy")</f>
        <v/>
      </c>
    </row>
    <row r="151">
      <c r="A151" s="9" t="inlineStr">
        <is>
          <t>akshayapatra.org</t>
        </is>
      </c>
      <c r="B151" s="9" t="inlineStr">
        <is>
          <t>ngo</t>
        </is>
      </c>
      <c r="C151" s="9" t="n">
        <v>9</v>
      </c>
      <c r="D151" s="10" t="inlineStr">
        <is>
          <t>Reasonable security safeguards (encryption, access control) are disclosed.</t>
        </is>
      </c>
      <c r="E151" s="9" t="inlineStr">
        <is>
          <t>Rule 6; Act S.8(5)</t>
        </is>
      </c>
      <c r="F151" s="9" t="inlineStr">
        <is>
          <t>yes</t>
        </is>
      </c>
      <c r="G151" s="9" t="inlineStr"/>
      <c r="H151" s="9" t="inlineStr"/>
      <c r="I151" s="11">
        <f>HYPERLINK("#'akshayapatra.org'!A1","read policy")</f>
        <v/>
      </c>
    </row>
    <row r="152">
      <c r="A152" s="9" t="inlineStr">
        <is>
          <t>akshayapatra.org</t>
        </is>
      </c>
      <c r="B152" s="9" t="inlineStr">
        <is>
          <t>ngo</t>
        </is>
      </c>
      <c r="C152" s="9" t="n">
        <v>10</v>
      </c>
      <c r="D152" s="10" t="inlineStr">
        <is>
          <t>A commitment to notify affected users and the Board of a personal-data breach.</t>
        </is>
      </c>
      <c r="E152" s="9" t="inlineStr">
        <is>
          <t>Rule 7; Act S.8(6)</t>
        </is>
      </c>
      <c r="F152" s="9" t="inlineStr">
        <is>
          <t>yes</t>
        </is>
      </c>
      <c r="G152" s="9" t="inlineStr"/>
      <c r="H152" s="9" t="inlineStr"/>
      <c r="I152" s="11">
        <f>HYPERLINK("#'akshayapatra.org'!A1","read policy")</f>
        <v/>
      </c>
    </row>
    <row r="153">
      <c r="A153" s="9" t="inlineStr">
        <is>
          <t>akshayapatra.org</t>
        </is>
      </c>
      <c r="B153" s="9" t="inlineStr">
        <is>
          <t>ngo</t>
        </is>
      </c>
      <c r="C153" s="9" t="n">
        <v>11</v>
      </c>
      <c r="D153" s="10" t="inlineStr">
        <is>
          <t>Withdrawal of consent is offered and is as easy as giving it, with a route stated.</t>
        </is>
      </c>
      <c r="E153" s="9" t="inlineStr">
        <is>
          <t>Rule 3; Act S.6(4)</t>
        </is>
      </c>
      <c r="F153" s="9" t="inlineStr">
        <is>
          <t>yes</t>
        </is>
      </c>
      <c r="G153" s="9" t="inlineStr"/>
      <c r="H153" s="9" t="inlineStr"/>
      <c r="I153" s="11">
        <f>HYPERLINK("#'akshayapatra.org'!A1","read policy")</f>
        <v/>
      </c>
    </row>
    <row r="154">
      <c r="A154" s="9" t="inlineStr">
        <is>
          <t>akshayapatra.org</t>
        </is>
      </c>
      <c r="B154" s="9" t="inlineStr">
        <is>
          <t>ngo</t>
        </is>
      </c>
      <c r="C154" s="9" t="n">
        <v>12</v>
      </c>
      <c r="D154" s="10" t="inlineStr">
        <is>
          <t>Consent is a clear affirmative action, unbundled, not pre-ticked or implied.</t>
        </is>
      </c>
      <c r="E154" s="9" t="inlineStr">
        <is>
          <t>Act S.6</t>
        </is>
      </c>
      <c r="F154" s="9" t="inlineStr">
        <is>
          <t>yes</t>
        </is>
      </c>
      <c r="G154" s="9" t="inlineStr"/>
      <c r="H154" s="9" t="inlineStr"/>
      <c r="I154" s="11">
        <f>HYPERLINK("#'akshayapatra.org'!A1","read policy")</f>
        <v/>
      </c>
    </row>
    <row r="155">
      <c r="A155" s="9" t="inlineStr">
        <is>
          <t>akshayapatra.org</t>
        </is>
      </c>
      <c r="B155" s="9" t="inlineStr">
        <is>
          <t>ngo</t>
        </is>
      </c>
      <c r="C155" s="9" t="n">
        <v>13</v>
      </c>
      <c r="D155" s="10" t="inlineStr">
        <is>
          <t>The Consent Manager route is acknowledged where relevant.</t>
        </is>
      </c>
      <c r="E155" s="9" t="inlineStr">
        <is>
          <t>Rule 4; Act S.6(7)</t>
        </is>
      </c>
      <c r="F155" s="9" t="inlineStr">
        <is>
          <t>yes</t>
        </is>
      </c>
      <c r="G155" s="9" t="inlineStr"/>
      <c r="H155" s="9" t="inlineStr"/>
      <c r="I155" s="11">
        <f>HYPERLINK("#'akshayapatra.org'!A1","read policy")</f>
        <v/>
      </c>
    </row>
    <row r="156">
      <c r="A156" s="9" t="inlineStr">
        <is>
          <t>akshayapatra.org</t>
        </is>
      </c>
      <c r="B156" s="9" t="inlineStr">
        <is>
          <t>ngo</t>
        </is>
      </c>
      <c r="C156" s="9" t="n">
        <v>14</v>
      </c>
      <c r="D156" s="10" t="inlineStr">
        <is>
          <t>Users can review consent given / records of consent are maintained.</t>
        </is>
      </c>
      <c r="E156" s="9" t="inlineStr">
        <is>
          <t>Act S.6(6)</t>
        </is>
      </c>
      <c r="F156" s="9" t="inlineStr">
        <is>
          <t>yes</t>
        </is>
      </c>
      <c r="G156" s="9" t="inlineStr"/>
      <c r="H156" s="9" t="inlineStr"/>
      <c r="I156" s="11">
        <f>HYPERLINK("#'akshayapatra.org'!A1","read policy")</f>
        <v/>
      </c>
    </row>
    <row r="157">
      <c r="A157" s="9" t="inlineStr">
        <is>
          <t>akshayapatra.org</t>
        </is>
      </c>
      <c r="B157" s="9" t="inlineStr">
        <is>
          <t>ngo</t>
        </is>
      </c>
      <c r="C157" s="9" t="n">
        <v>15</v>
      </c>
      <c r="D157" s="10" t="inlineStr">
        <is>
          <t>Verifiable parental consent for under-18s, and no tracking, behavioural monitoring or targeted ads to children.</t>
        </is>
      </c>
      <c r="E157" s="9" t="inlineStr">
        <is>
          <t>Act S.9</t>
        </is>
      </c>
      <c r="F157" s="9" t="inlineStr">
        <is>
          <t>yes</t>
        </is>
      </c>
      <c r="G157" s="9" t="inlineStr"/>
      <c r="H157" s="9" t="inlineStr"/>
      <c r="I157" s="11">
        <f>HYPERLINK("#'akshayapatra.org'!A1","read policy")</f>
        <v/>
      </c>
    </row>
    <row r="158">
      <c r="A158" s="9" t="inlineStr">
        <is>
          <t>akshayapatra.org</t>
        </is>
      </c>
      <c r="B158" s="9" t="inlineStr">
        <is>
          <t>ngo</t>
        </is>
      </c>
      <c r="C158" s="9" t="n">
        <v>16</v>
      </c>
      <c r="D158" s="10" t="inlineStr">
        <is>
          <t>The right to access a summary of personal data being processed is disclosed.</t>
        </is>
      </c>
      <c r="E158" s="9" t="inlineStr">
        <is>
          <t>Act S.11</t>
        </is>
      </c>
      <c r="F158" s="9" t="inlineStr">
        <is>
          <t>yes</t>
        </is>
      </c>
      <c r="G158" s="9" t="inlineStr"/>
      <c r="H158" s="9" t="inlineStr"/>
      <c r="I158" s="11">
        <f>HYPERLINK("#'akshayapatra.org'!A1","read policy")</f>
        <v/>
      </c>
    </row>
    <row r="159">
      <c r="A159" s="9" t="inlineStr">
        <is>
          <t>akshayapatra.org</t>
        </is>
      </c>
      <c r="B159" s="9" t="inlineStr">
        <is>
          <t>ngo</t>
        </is>
      </c>
      <c r="C159" s="9" t="n">
        <v>17</v>
      </c>
      <c r="D159" s="10" t="inlineStr">
        <is>
          <t>The right to correction of personal data is disclosed.</t>
        </is>
      </c>
      <c r="E159" s="9" t="inlineStr">
        <is>
          <t>Act S.12</t>
        </is>
      </c>
      <c r="F159" s="9" t="inlineStr">
        <is>
          <t>yes</t>
        </is>
      </c>
      <c r="G159" s="9" t="inlineStr"/>
      <c r="H159" s="9" t="inlineStr"/>
      <c r="I159" s="11">
        <f>HYPERLINK("#'akshayapatra.org'!A1","read policy")</f>
        <v/>
      </c>
    </row>
    <row r="160">
      <c r="A160" s="9" t="inlineStr">
        <is>
          <t>akshayapatra.org</t>
        </is>
      </c>
      <c r="B160" s="9" t="inlineStr">
        <is>
          <t>ngo</t>
        </is>
      </c>
      <c r="C160" s="9" t="n">
        <v>18</v>
      </c>
      <c r="D160" s="10" t="inlineStr">
        <is>
          <t>The right to erasure of personal data is disclosed.</t>
        </is>
      </c>
      <c r="E160" s="9" t="inlineStr">
        <is>
          <t>Act S.12</t>
        </is>
      </c>
      <c r="F160" s="9" t="inlineStr">
        <is>
          <t>yes</t>
        </is>
      </c>
      <c r="G160" s="9" t="inlineStr"/>
      <c r="H160" s="9" t="inlineStr"/>
      <c r="I160" s="11">
        <f>HYPERLINK("#'akshayapatra.org'!A1","read policy")</f>
        <v/>
      </c>
    </row>
    <row r="161">
      <c r="A161" s="9" t="inlineStr">
        <is>
          <t>akshayapatra.org</t>
        </is>
      </c>
      <c r="B161" s="9" t="inlineStr">
        <is>
          <t>ngo</t>
        </is>
      </c>
      <c r="C161" s="9" t="n">
        <v>19</v>
      </c>
      <c r="D161" s="10" t="inlineStr">
        <is>
          <t>A readily available grievance-redressal route is disclosed.</t>
        </is>
      </c>
      <c r="E161" s="9" t="inlineStr">
        <is>
          <t>Act S.13</t>
        </is>
      </c>
      <c r="F161" s="9" t="inlineStr">
        <is>
          <t>yes</t>
        </is>
      </c>
      <c r="G161" s="9" t="inlineStr"/>
      <c r="H161" s="9" t="inlineStr"/>
      <c r="I161" s="11">
        <f>HYPERLINK("#'akshayapatra.org'!A1","read policy")</f>
        <v/>
      </c>
    </row>
    <row r="162">
      <c r="A162" s="9" t="inlineStr">
        <is>
          <t>akshayapatra.org</t>
        </is>
      </c>
      <c r="B162" s="9" t="inlineStr">
        <is>
          <t>ngo</t>
        </is>
      </c>
      <c r="C162" s="9" t="n">
        <v>20</v>
      </c>
      <c r="D162" s="10" t="inlineStr">
        <is>
          <t>The right to nominate is disclosed.</t>
        </is>
      </c>
      <c r="E162" s="9" t="inlineStr">
        <is>
          <t>Act S.14</t>
        </is>
      </c>
      <c r="F162" s="9" t="inlineStr">
        <is>
          <t>yes</t>
        </is>
      </c>
      <c r="G162" s="9" t="inlineStr"/>
      <c r="H162" s="9" t="inlineStr"/>
      <c r="I162" s="11">
        <f>HYPERLINK("#'akshayapatra.org'!A1","read policy")</f>
        <v/>
      </c>
    </row>
    <row r="163">
      <c r="A163" s="9" t="inlineStr">
        <is>
          <t>akshayapatra.org</t>
        </is>
      </c>
      <c r="B163" s="9" t="inlineStr">
        <is>
          <t>ngo</t>
        </is>
      </c>
      <c r="C163" s="9" t="n">
        <v>21</v>
      </c>
      <c r="D163" s="10" t="inlineStr">
        <is>
          <t>A reachable grievance officer or business contact for data queries is published.</t>
        </is>
      </c>
      <c r="E163" s="9" t="inlineStr">
        <is>
          <t>Act S.8(9)-(10), S.13</t>
        </is>
      </c>
      <c r="F163" s="9" t="inlineStr">
        <is>
          <t>yes</t>
        </is>
      </c>
      <c r="G163" s="9" t="inlineStr"/>
      <c r="H163" s="9" t="inlineStr"/>
      <c r="I163" s="11">
        <f>HYPERLINK("#'akshayapatra.org'!A1","read policy")</f>
        <v/>
      </c>
    </row>
    <row r="164">
      <c r="A164" s="9" t="inlineStr">
        <is>
          <t>akshayapatra.org</t>
        </is>
      </c>
      <c r="B164" s="9" t="inlineStr">
        <is>
          <t>ngo</t>
        </is>
      </c>
      <c r="C164" s="9" t="n">
        <v>22</v>
      </c>
      <c r="D164" s="10" t="inlineStr">
        <is>
          <t>A Data Protection Officer is appointed and published (Significant Data Fiduciary).</t>
        </is>
      </c>
      <c r="E164" s="9" t="inlineStr">
        <is>
          <t>Rule 13; Act S.10</t>
        </is>
      </c>
      <c r="F164" s="9" t="inlineStr">
        <is>
          <t>yes</t>
        </is>
      </c>
      <c r="G164" s="9" t="inlineStr"/>
      <c r="H164" s="9" t="inlineStr"/>
      <c r="I164" s="11">
        <f>HYPERLINK("#'akshayapatra.org'!A1","read policy")</f>
        <v/>
      </c>
    </row>
    <row r="165">
      <c r="A165" s="9" t="inlineStr">
        <is>
          <t>akshayapatra.org</t>
        </is>
      </c>
      <c r="B165" s="9" t="inlineStr">
        <is>
          <t>ngo</t>
        </is>
      </c>
      <c r="C165" s="9" t="n">
        <v>23</v>
      </c>
      <c r="D165" s="10" t="inlineStr">
        <is>
          <t>Processors engaged only under a valid contract.</t>
        </is>
      </c>
      <c r="E165" s="9" t="inlineStr">
        <is>
          <t>Act S.8(2)</t>
        </is>
      </c>
      <c r="F165" s="9" t="inlineStr">
        <is>
          <t>yes</t>
        </is>
      </c>
      <c r="G165" s="9" t="inlineStr"/>
      <c r="H165" s="9" t="inlineStr"/>
      <c r="I165" s="11">
        <f>HYPERLINK("#'akshayapatra.org'!A1","read policy")</f>
        <v/>
      </c>
    </row>
    <row r="166">
      <c r="A166" s="9" t="inlineStr">
        <is>
          <t>akshayapatra.org</t>
        </is>
      </c>
      <c r="B166" s="9" t="inlineStr">
        <is>
          <t>ngo</t>
        </is>
      </c>
      <c r="C166" s="9" t="n">
        <v>24</v>
      </c>
      <c r="D166" s="10" t="inlineStr">
        <is>
          <t>Third parties / recipients of data sharing are disclosed.</t>
        </is>
      </c>
      <c r="E166" s="9" t="inlineStr">
        <is>
          <t>Act S.8(2)</t>
        </is>
      </c>
      <c r="F166" s="9" t="inlineStr">
        <is>
          <t>yes</t>
        </is>
      </c>
      <c r="G166" s="9" t="inlineStr"/>
      <c r="H166" s="9" t="inlineStr"/>
      <c r="I166" s="11">
        <f>HYPERLINK("#'akshayapatra.org'!A1","read policy")</f>
        <v/>
      </c>
    </row>
    <row r="167">
      <c r="A167" s="9" t="inlineStr">
        <is>
          <t>akshayapatra.org</t>
        </is>
      </c>
      <c r="B167" s="9" t="inlineStr">
        <is>
          <t>ngo</t>
        </is>
      </c>
      <c r="C167" s="9" t="n">
        <v>25</v>
      </c>
      <c r="D167" s="10" t="inlineStr">
        <is>
          <t>Sub-processor oversight is addressed.</t>
        </is>
      </c>
      <c r="E167" s="9" t="inlineStr">
        <is>
          <t>Rule 6; Act S.8(2)</t>
        </is>
      </c>
      <c r="F167" s="9" t="inlineStr">
        <is>
          <t>yes</t>
        </is>
      </c>
      <c r="G167" s="9" t="inlineStr"/>
      <c r="H167" s="9" t="inlineStr"/>
      <c r="I167" s="11">
        <f>HYPERLINK("#'akshayapatra.org'!A1","read policy")</f>
        <v/>
      </c>
    </row>
    <row r="168">
      <c r="A168" s="9" t="inlineStr">
        <is>
          <t>akshayapatra.org</t>
        </is>
      </c>
      <c r="B168" s="9" t="inlineStr">
        <is>
          <t>ngo</t>
        </is>
      </c>
      <c r="C168" s="9" t="n">
        <v>26</v>
      </c>
      <c r="D168" s="10" t="inlineStr">
        <is>
          <t>Security obligations flow down to processors.</t>
        </is>
      </c>
      <c r="E168" s="9" t="inlineStr">
        <is>
          <t>Rule 6; Act S.8(2)</t>
        </is>
      </c>
      <c r="F168" s="9" t="inlineStr">
        <is>
          <t>yes</t>
        </is>
      </c>
      <c r="G168" s="9" t="inlineStr"/>
      <c r="H168" s="9" t="inlineStr"/>
      <c r="I168" s="11">
        <f>HYPERLINK("#'akshayapatra.org'!A1","read policy")</f>
        <v/>
      </c>
    </row>
    <row r="169">
      <c r="A169" s="9" t="inlineStr">
        <is>
          <t>akshayapatra.org</t>
        </is>
      </c>
      <c r="B169" s="9" t="inlineStr">
        <is>
          <t>ngo</t>
        </is>
      </c>
      <c r="C169" s="9" t="n">
        <v>27</v>
      </c>
      <c r="D169" s="10" t="inlineStr">
        <is>
          <t>Transfers of personal data outside India are disclosed.</t>
        </is>
      </c>
      <c r="E169" s="9" t="inlineStr">
        <is>
          <t>Act S.16</t>
        </is>
      </c>
      <c r="F169" s="9" t="inlineStr">
        <is>
          <t>yes</t>
        </is>
      </c>
      <c r="G169" s="9" t="inlineStr"/>
      <c r="H169" s="9" t="inlineStr"/>
      <c r="I169" s="11">
        <f>HYPERLINK("#'akshayapatra.org'!A1","read policy")</f>
        <v/>
      </c>
    </row>
    <row r="170">
      <c r="A170" s="9" t="inlineStr">
        <is>
          <t>akshayapatra.org</t>
        </is>
      </c>
      <c r="B170" s="9" t="inlineStr">
        <is>
          <t>ngo</t>
        </is>
      </c>
      <c r="C170" s="9" t="n">
        <v>28</v>
      </c>
      <c r="D170" s="10" t="inlineStr">
        <is>
          <t>Compliance with any restricted-country notification is addressed.</t>
        </is>
      </c>
      <c r="E170" s="9" t="inlineStr">
        <is>
          <t>Act S.16</t>
        </is>
      </c>
      <c r="F170" s="9" t="inlineStr">
        <is>
          <t>yes</t>
        </is>
      </c>
      <c r="G170" s="9" t="inlineStr"/>
      <c r="H170" s="9" t="inlineStr"/>
      <c r="I170" s="11">
        <f>HYPERLINK("#'akshayapatra.org'!A1","read policy")</f>
        <v/>
      </c>
    </row>
    <row r="171">
      <c r="A171" s="9" t="inlineStr">
        <is>
          <t>akshayapatra.org</t>
        </is>
      </c>
      <c r="B171" s="9" t="inlineStr">
        <is>
          <t>ngo</t>
        </is>
      </c>
      <c r="C171" s="9" t="n">
        <v>29</v>
      </c>
      <c r="D171" s="10" t="inlineStr">
        <is>
          <t>Data storage location is disclosed.</t>
        </is>
      </c>
      <c r="E171" s="9" t="inlineStr">
        <is>
          <t>Act S.16</t>
        </is>
      </c>
      <c r="F171" s="9" t="inlineStr">
        <is>
          <t>yes</t>
        </is>
      </c>
      <c r="G171" s="9" t="inlineStr"/>
      <c r="H171" s="9" t="inlineStr"/>
      <c r="I171" s="11">
        <f>HYPERLINK("#'akshayapatra.org'!A1","read policy")</f>
        <v/>
      </c>
    </row>
    <row r="172">
      <c r="A172" s="9" t="inlineStr">
        <is>
          <t>akshayapatra.org</t>
        </is>
      </c>
      <c r="B172" s="9" t="inlineStr">
        <is>
          <t>ngo</t>
        </is>
      </c>
      <c r="C172" s="9" t="n">
        <v>30</v>
      </c>
      <c r="D172" s="10" t="inlineStr">
        <is>
          <t>A Data Protection Impact Assessment is undertaken (Significant Data Fiduciary).</t>
        </is>
      </c>
      <c r="E172" s="9" t="inlineStr">
        <is>
          <t>Rule 13; Act S.10</t>
        </is>
      </c>
      <c r="F172" s="9" t="inlineStr">
        <is>
          <t>yes</t>
        </is>
      </c>
      <c r="G172" s="9" t="inlineStr"/>
      <c r="H172" s="9" t="inlineStr"/>
      <c r="I172" s="11">
        <f>HYPERLINK("#'akshayapatra.org'!A1","read policy")</f>
        <v/>
      </c>
    </row>
    <row r="173">
      <c r="A173" s="9" t="inlineStr">
        <is>
          <t>akshayapatra.org</t>
        </is>
      </c>
      <c r="B173" s="9" t="inlineStr">
        <is>
          <t>ngo</t>
        </is>
      </c>
      <c r="C173" s="9" t="n">
        <v>31</v>
      </c>
      <c r="D173" s="10" t="inlineStr">
        <is>
          <t>Privacy by design and periodic audit are addressed.</t>
        </is>
      </c>
      <c r="E173" s="9" t="inlineStr">
        <is>
          <t>Rule 13; Act S.8</t>
        </is>
      </c>
      <c r="F173" s="9" t="inlineStr">
        <is>
          <t>yes</t>
        </is>
      </c>
      <c r="G173" s="9" t="inlineStr"/>
      <c r="H173" s="9" t="inlineStr"/>
      <c r="I173" s="11">
        <f>HYPERLINK("#'akshayapatra.org'!A1","read policy")</f>
        <v/>
      </c>
    </row>
    <row r="174">
      <c r="A174" s="9" t="inlineStr">
        <is>
          <t>akshayapatra.org</t>
        </is>
      </c>
      <c r="B174" s="9" t="inlineStr">
        <is>
          <t>ngo</t>
        </is>
      </c>
      <c r="C174" s="9" t="n">
        <v>32</v>
      </c>
      <c r="D174" s="10" t="inlineStr">
        <is>
          <t>Data-minimisation measures by design are addressed.</t>
        </is>
      </c>
      <c r="E174" s="9" t="inlineStr">
        <is>
          <t>Act S.8</t>
        </is>
      </c>
      <c r="F174" s="9" t="inlineStr">
        <is>
          <t>yes</t>
        </is>
      </c>
      <c r="G174" s="9" t="inlineStr"/>
      <c r="H174" s="9" t="inlineStr"/>
      <c r="I174" s="11">
        <f>HYPERLINK("#'akshayapatra.org'!A1","read policy")</f>
        <v/>
      </c>
    </row>
    <row r="175">
      <c r="A175" s="9" t="inlineStr">
        <is>
          <t>akshayapatra.org</t>
        </is>
      </c>
      <c r="B175" s="9" t="inlineStr">
        <is>
          <t>ngo</t>
        </is>
      </c>
      <c r="C175" s="9" t="n">
        <v>33</v>
      </c>
      <c r="D175" s="10" t="inlineStr">
        <is>
          <t>A published privacy policy exists and is reachable.</t>
        </is>
      </c>
      <c r="E175" s="9" t="inlineStr">
        <is>
          <t>Rule 3; Act S.5</t>
        </is>
      </c>
      <c r="F175" s="9" t="inlineStr">
        <is>
          <t>yes</t>
        </is>
      </c>
      <c r="G175" s="9" t="inlineStr"/>
      <c r="H175" s="9" t="inlineStr"/>
      <c r="I175" s="11">
        <f>HYPERLINK("#'akshayapatra.org'!A1","read policy")</f>
        <v/>
      </c>
    </row>
    <row r="176">
      <c r="A176" s="9" t="inlineStr">
        <is>
          <t>akshayapatra.org</t>
        </is>
      </c>
      <c r="B176" s="9" t="inlineStr">
        <is>
          <t>ngo</t>
        </is>
      </c>
      <c r="C176" s="9" t="n">
        <v>34</v>
      </c>
      <c r="D176" s="10" t="inlineStr">
        <is>
          <t>A cookie policy / tracker disclosure is published.</t>
        </is>
      </c>
      <c r="E176" s="9" t="inlineStr">
        <is>
          <t>Rule 3; Act S.5</t>
        </is>
      </c>
      <c r="F176" s="9" t="inlineStr">
        <is>
          <t>yes</t>
        </is>
      </c>
      <c r="G176" s="9" t="inlineStr"/>
      <c r="H176" s="9" t="inlineStr"/>
      <c r="I176" s="11">
        <f>HYPERLINK("#'akshayapatra.org'!A1","read policy")</f>
        <v/>
      </c>
    </row>
    <row r="177">
      <c r="A177" s="9" t="inlineStr">
        <is>
          <t>akshayapatra.org</t>
        </is>
      </c>
      <c r="B177" s="9" t="inlineStr">
        <is>
          <t>ngo</t>
        </is>
      </c>
      <c r="C177" s="9" t="n">
        <v>35</v>
      </c>
      <c r="D177" s="10" t="inlineStr">
        <is>
          <t>Terms of service are published.</t>
        </is>
      </c>
      <c r="E177" s="9" t="inlineStr">
        <is>
          <t>Act S.5</t>
        </is>
      </c>
      <c r="F177" s="9" t="inlineStr">
        <is>
          <t>yes</t>
        </is>
      </c>
      <c r="G177" s="9" t="inlineStr"/>
      <c r="H177" s="9" t="inlineStr"/>
      <c r="I177" s="11">
        <f>HYPERLINK("#'akshayapatra.org'!A1","read policy")</f>
        <v/>
      </c>
    </row>
    <row r="178">
      <c r="A178" s="9" t="inlineStr">
        <is>
          <t>akshayapatra.org</t>
        </is>
      </c>
      <c r="B178" s="9" t="inlineStr">
        <is>
          <t>ngo</t>
        </is>
      </c>
      <c r="C178" s="9" t="n">
        <v>36</v>
      </c>
      <c r="D178" s="10" t="inlineStr">
        <is>
          <t>Notice is available in an accessible form (and Indian languages where relevant).</t>
        </is>
      </c>
      <c r="E178" s="9" t="inlineStr">
        <is>
          <t>Rule 3; Act S.5</t>
        </is>
      </c>
      <c r="F178" s="9" t="inlineStr">
        <is>
          <t>yes</t>
        </is>
      </c>
      <c r="G178" s="9" t="inlineStr"/>
      <c r="H178" s="9" t="inlineStr"/>
      <c r="I178" s="11">
        <f>HYPERLINK("#'akshayapatra.org'!A1","read policy")</f>
        <v/>
      </c>
    </row>
    <row r="179">
      <c r="A179" s="9" t="inlineStr">
        <is>
          <t>akshayapatra.org</t>
        </is>
      </c>
      <c r="B179" s="9" t="inlineStr">
        <is>
          <t>ngo</t>
        </is>
      </c>
      <c r="C179" s="9" t="n">
        <v>37</v>
      </c>
      <c r="D179" s="10" t="inlineStr">
        <is>
          <t>Registered office / entity contact details are published.</t>
        </is>
      </c>
      <c r="E179" s="9" t="inlineStr">
        <is>
          <t>Act S.8(9)</t>
        </is>
      </c>
      <c r="F179" s="9" t="inlineStr">
        <is>
          <t>yes</t>
        </is>
      </c>
      <c r="G179" s="9" t="inlineStr"/>
      <c r="H179" s="9" t="inlineStr"/>
      <c r="I179" s="11">
        <f>HYPERLINK("#'akshayapatra.org'!A1","read policy")</f>
        <v/>
      </c>
    </row>
    <row r="180">
      <c r="A180" s="9" t="inlineStr">
        <is>
          <t>akshayapatra.org</t>
        </is>
      </c>
      <c r="B180" s="9" t="inlineStr">
        <is>
          <t>ngo</t>
        </is>
      </c>
      <c r="C180" s="9" t="n">
        <v>38</v>
      </c>
      <c r="D180" s="10" t="inlineStr">
        <is>
          <t>The site serves over HTTPS (encryption in transit).</t>
        </is>
      </c>
      <c r="E180" s="9" t="inlineStr">
        <is>
          <t>Rule 6; Act S.8(5)</t>
        </is>
      </c>
      <c r="F180" s="9" t="inlineStr">
        <is>
          <t>yes</t>
        </is>
      </c>
      <c r="G180" s="9" t="inlineStr"/>
      <c r="H180" s="9" t="inlineStr"/>
      <c r="I180" s="11">
        <f>HYPERLINK("#'akshayapatra.org'!A1","read policy")</f>
        <v/>
      </c>
    </row>
    <row r="181">
      <c r="A181" s="9" t="inlineStr">
        <is>
          <t>akshayapatra.org</t>
        </is>
      </c>
      <c r="B181" s="9" t="inlineStr">
        <is>
          <t>ngo</t>
        </is>
      </c>
      <c r="C181" s="9" t="n">
        <v>39</v>
      </c>
      <c r="D181" s="10" t="inlineStr">
        <is>
          <t>Encryption at rest is disclosed.</t>
        </is>
      </c>
      <c r="E181" s="9" t="inlineStr">
        <is>
          <t>Rule 6; Act S.8(5)</t>
        </is>
      </c>
      <c r="F181" s="9" t="inlineStr">
        <is>
          <t>yes</t>
        </is>
      </c>
      <c r="G181" s="9" t="inlineStr"/>
      <c r="H181" s="9" t="inlineStr"/>
      <c r="I181" s="11">
        <f>HYPERLINK("#'akshayapatra.org'!A1","read policy")</f>
        <v/>
      </c>
    </row>
    <row r="182">
      <c r="A182" s="9" t="inlineStr">
        <is>
          <t>akshayapatra.org</t>
        </is>
      </c>
      <c r="B182" s="9" t="inlineStr">
        <is>
          <t>ngo</t>
        </is>
      </c>
      <c r="C182" s="9" t="n">
        <v>40</v>
      </c>
      <c r="D182" s="10" t="inlineStr">
        <is>
          <t>Access controls and logging are disclosed.</t>
        </is>
      </c>
      <c r="E182" s="9" t="inlineStr">
        <is>
          <t>Rule 6; Act S.8(5)</t>
        </is>
      </c>
      <c r="F182" s="9" t="inlineStr">
        <is>
          <t>yes</t>
        </is>
      </c>
      <c r="G182" s="9" t="inlineStr"/>
      <c r="H182" s="9" t="inlineStr"/>
      <c r="I182" s="11">
        <f>HYPERLINK("#'akshayapatra.org'!A1","read policy")</f>
        <v/>
      </c>
    </row>
    <row r="183">
      <c r="A183" s="9" t="inlineStr">
        <is>
          <t>akshayapatra.org</t>
        </is>
      </c>
      <c r="B183" s="9" t="inlineStr">
        <is>
          <t>ngo</t>
        </is>
      </c>
      <c r="C183" s="9" t="n">
        <v>41</v>
      </c>
      <c r="D183" s="10" t="inlineStr">
        <is>
          <t>An internal data-protection policy / governance is in place.</t>
        </is>
      </c>
      <c r="E183" s="9" t="inlineStr">
        <is>
          <t>Act S.8</t>
        </is>
      </c>
      <c r="F183" s="9" t="inlineStr">
        <is>
          <t>yes</t>
        </is>
      </c>
      <c r="G183" s="9" t="inlineStr"/>
      <c r="H183" s="9" t="inlineStr"/>
      <c r="I183" s="11">
        <f>HYPERLINK("#'akshayapatra.org'!A1","read policy")</f>
        <v/>
      </c>
    </row>
    <row r="184">
      <c r="A184" s="9" t="inlineStr">
        <is>
          <t>akshayapatra.org</t>
        </is>
      </c>
      <c r="B184" s="9" t="inlineStr">
        <is>
          <t>ngo</t>
        </is>
      </c>
      <c r="C184" s="9" t="n">
        <v>42</v>
      </c>
      <c r="D184" s="10" t="inlineStr">
        <is>
          <t>Staff are trained on data protection.</t>
        </is>
      </c>
      <c r="E184" s="9" t="inlineStr">
        <is>
          <t>Act Rule 13</t>
        </is>
      </c>
      <c r="F184" s="9" t="inlineStr">
        <is>
          <t>yes</t>
        </is>
      </c>
      <c r="G184" s="9" t="inlineStr"/>
      <c r="H184" s="9" t="inlineStr"/>
      <c r="I184" s="11">
        <f>HYPERLINK("#'akshayapatra.org'!A1","read policy")</f>
        <v/>
      </c>
    </row>
    <row r="185">
      <c r="A185" s="9" t="inlineStr">
        <is>
          <t>akshayapatra.org</t>
        </is>
      </c>
      <c r="B185" s="9" t="inlineStr">
        <is>
          <t>ngo</t>
        </is>
      </c>
      <c r="C185" s="9" t="n">
        <v>43</v>
      </c>
      <c r="D185" s="10" t="inlineStr">
        <is>
          <t>Records of processing activities are maintained.</t>
        </is>
      </c>
      <c r="E185" s="9" t="inlineStr">
        <is>
          <t>Act S.8</t>
        </is>
      </c>
      <c r="F185" s="9" t="inlineStr">
        <is>
          <t>yes</t>
        </is>
      </c>
      <c r="G185" s="9" t="inlineStr"/>
      <c r="H185" s="9" t="inlineStr"/>
      <c r="I185" s="11">
        <f>HYPERLINK("#'akshayapatra.org'!A1","read policy")</f>
        <v/>
      </c>
    </row>
    <row r="186">
      <c r="A186" s="9" t="inlineStr">
        <is>
          <t>akshayapatra.org</t>
        </is>
      </c>
      <c r="B186" s="9" t="inlineStr">
        <is>
          <t>ngo</t>
        </is>
      </c>
      <c r="C186" s="9" t="n">
        <v>44</v>
      </c>
      <c r="D186" s="10" t="inlineStr">
        <is>
          <t>An incident-response plan exists.</t>
        </is>
      </c>
      <c r="E186" s="9" t="inlineStr">
        <is>
          <t>Rule 7; Act S.8(6)</t>
        </is>
      </c>
      <c r="F186" s="9" t="inlineStr">
        <is>
          <t>yes</t>
        </is>
      </c>
      <c r="G186" s="9" t="inlineStr"/>
      <c r="H186" s="9" t="inlineStr"/>
      <c r="I186" s="11">
        <f>HYPERLINK("#'akshayapatra.org'!A1","read policy")</f>
        <v/>
      </c>
    </row>
    <row r="187">
      <c r="A187" s="9" t="inlineStr">
        <is>
          <t>akshayapatra.org</t>
        </is>
      </c>
      <c r="B187" s="9" t="inlineStr">
        <is>
          <t>ngo</t>
        </is>
      </c>
      <c r="C187" s="9" t="n">
        <v>45</v>
      </c>
      <c r="D187" s="10" t="inlineStr">
        <is>
          <t>Vendor / third-party risk management is addressed.</t>
        </is>
      </c>
      <c r="E187" s="9" t="inlineStr">
        <is>
          <t>Act Rule 6</t>
        </is>
      </c>
      <c r="F187" s="9" t="inlineStr">
        <is>
          <t>yes</t>
        </is>
      </c>
      <c r="G187" s="9" t="inlineStr"/>
      <c r="H187" s="9" t="inlineStr"/>
      <c r="I187" s="11">
        <f>HYPERLINK("#'akshayapatra.org'!A1","read policy")</f>
        <v/>
      </c>
    </row>
    <row r="188">
      <c r="A188" s="9" t="inlineStr">
        <is>
          <t>akshayapatra.org</t>
        </is>
      </c>
      <c r="B188" s="9" t="inlineStr">
        <is>
          <t>ngo</t>
        </is>
      </c>
      <c r="C188" s="9" t="n">
        <v>46</v>
      </c>
      <c r="D188" s="10" t="inlineStr">
        <is>
          <t>Significant-Data-Fiduciary obligations / Board reporting are addressed where applicable.</t>
        </is>
      </c>
      <c r="E188" s="9" t="inlineStr">
        <is>
          <t>Rule 13; Act S.10</t>
        </is>
      </c>
      <c r="F188" s="9" t="inlineStr">
        <is>
          <t>yes</t>
        </is>
      </c>
      <c r="G188" s="9" t="inlineStr"/>
      <c r="H188" s="9" t="inlineStr"/>
      <c r="I188" s="11">
        <f>HYPERLINK("#'akshayapatra.org'!A1","read policy")</f>
        <v/>
      </c>
    </row>
    <row r="189">
      <c r="A189" s="9" t="inlineStr">
        <is>
          <t>akshayapatra.org</t>
        </is>
      </c>
      <c r="B189" s="9" t="inlineStr">
        <is>
          <t>ngo</t>
        </is>
      </c>
      <c r="C189" s="9" t="n">
        <v>47</v>
      </c>
      <c r="D189" s="10" t="inlineStr">
        <is>
          <t>A periodic compliance review / audit is performed.</t>
        </is>
      </c>
      <c r="E189" s="9" t="inlineStr">
        <is>
          <t>Act Rule 13</t>
        </is>
      </c>
      <c r="F189" s="9" t="inlineStr">
        <is>
          <t>yes</t>
        </is>
      </c>
      <c r="G189" s="9" t="inlineStr"/>
      <c r="H189" s="9" t="inlineStr"/>
      <c r="I189" s="11">
        <f>HYPERLINK("#'akshayapatra.org'!A1","read policy")</f>
        <v/>
      </c>
    </row>
    <row r="190">
      <c r="A190" s="6" t="inlineStr">
        <is>
          <t>savethechildren.in</t>
        </is>
      </c>
      <c r="B190" s="6" t="inlineStr">
        <is>
          <t>ngo</t>
        </is>
      </c>
      <c r="C190" s="6" t="n">
        <v>1</v>
      </c>
      <c r="D190" s="7" t="inlineStr">
        <is>
          <t>The notice itemises the categories of personal data collected, in plain language.</t>
        </is>
      </c>
      <c r="E190" s="6" t="inlineStr">
        <is>
          <t>Rule 3; Act S.5</t>
        </is>
      </c>
      <c r="F190" s="6" t="inlineStr">
        <is>
          <t>yes</t>
        </is>
      </c>
      <c r="G190" s="6" t="inlineStr"/>
      <c r="H190" s="6" t="inlineStr"/>
      <c r="I190" s="8">
        <f>HYPERLINK("#'savethechildren.in'!A1","read policy")</f>
        <v/>
      </c>
    </row>
    <row r="191">
      <c r="A191" s="6" t="inlineStr">
        <is>
          <t>savethechildren.in</t>
        </is>
      </c>
      <c r="B191" s="6" t="inlineStr">
        <is>
          <t>ngo</t>
        </is>
      </c>
      <c r="C191" s="6" t="n">
        <v>2</v>
      </c>
      <c r="D191" s="7" t="inlineStr">
        <is>
          <t>A specific purpose is stated for the data collected; generic 'business purposes' is only Partial.</t>
        </is>
      </c>
      <c r="E191" s="6" t="inlineStr">
        <is>
          <t>Rule 3; Act S.6</t>
        </is>
      </c>
      <c r="F191" s="6" t="inlineStr">
        <is>
          <t>yes</t>
        </is>
      </c>
      <c r="G191" s="6" t="inlineStr"/>
      <c r="H191" s="6" t="inlineStr"/>
      <c r="I191" s="8">
        <f>HYPERLINK("#'savethechildren.in'!A1","read policy")</f>
        <v/>
      </c>
    </row>
    <row r="192">
      <c r="A192" s="6" t="inlineStr">
        <is>
          <t>savethechildren.in</t>
        </is>
      </c>
      <c r="B192" s="6" t="inlineStr">
        <is>
          <t>ngo</t>
        </is>
      </c>
      <c r="C192" s="6" t="n">
        <v>3</v>
      </c>
      <c r="D192" s="7" t="inlineStr">
        <is>
          <t>The notice is clear, plain-language and understandable on its own.</t>
        </is>
      </c>
      <c r="E192" s="6" t="inlineStr">
        <is>
          <t>Rule 3; Act S.5</t>
        </is>
      </c>
      <c r="F192" s="6" t="inlineStr">
        <is>
          <t>yes</t>
        </is>
      </c>
      <c r="G192" s="6" t="inlineStr"/>
      <c r="H192" s="6" t="inlineStr"/>
      <c r="I192" s="8">
        <f>HYPERLINK("#'savethechildren.in'!A1","read policy")</f>
        <v/>
      </c>
    </row>
    <row r="193">
      <c r="A193" s="6" t="inlineStr">
        <is>
          <t>savethechildren.in</t>
        </is>
      </c>
      <c r="B193" s="6" t="inlineStr">
        <is>
          <t>ngo</t>
        </is>
      </c>
      <c r="C193" s="6" t="n">
        <v>4</v>
      </c>
      <c r="D193" s="7" t="inlineStr">
        <is>
          <t>Processing is on a stated lawful basis (consent or a legitimate use).</t>
        </is>
      </c>
      <c r="E193" s="6" t="inlineStr">
        <is>
          <t>Act S.4</t>
        </is>
      </c>
      <c r="F193" s="6" t="inlineStr">
        <is>
          <t>yes</t>
        </is>
      </c>
      <c r="G193" s="6" t="inlineStr"/>
      <c r="H193" s="6" t="inlineStr"/>
      <c r="I193" s="8">
        <f>HYPERLINK("#'savethechildren.in'!A1","read policy")</f>
        <v/>
      </c>
    </row>
    <row r="194">
      <c r="A194" s="6" t="inlineStr">
        <is>
          <t>savethechildren.in</t>
        </is>
      </c>
      <c r="B194" s="6" t="inlineStr">
        <is>
          <t>ngo</t>
        </is>
      </c>
      <c r="C194" s="6" t="n">
        <v>5</v>
      </c>
      <c r="D194" s="7" t="inlineStr">
        <is>
          <t>Collection is limited to data necessary for the specified purpose (purpose/data limitation).</t>
        </is>
      </c>
      <c r="E194" s="6" t="inlineStr">
        <is>
          <t>Act S.6(1)</t>
        </is>
      </c>
      <c r="F194" s="6" t="inlineStr">
        <is>
          <t>yes</t>
        </is>
      </c>
      <c r="G194" s="6" t="inlineStr"/>
      <c r="H194" s="6" t="inlineStr"/>
      <c r="I194" s="8">
        <f>HYPERLINK("#'savethechildren.in'!A1","read policy")</f>
        <v/>
      </c>
    </row>
    <row r="195">
      <c r="A195" s="6" t="inlineStr">
        <is>
          <t>savethechildren.in</t>
        </is>
      </c>
      <c r="B195" s="6" t="inlineStr">
        <is>
          <t>ngo</t>
        </is>
      </c>
      <c r="C195" s="6" t="n">
        <v>6</v>
      </c>
      <c r="D195" s="7" t="inlineStr">
        <is>
          <t>If legitimate uses are relied upon, they fall within the Act's Section 7 categories.</t>
        </is>
      </c>
      <c r="E195" s="6" t="inlineStr">
        <is>
          <t>Act S.7</t>
        </is>
      </c>
      <c r="F195" s="6" t="inlineStr">
        <is>
          <t>yes</t>
        </is>
      </c>
      <c r="G195" s="6" t="inlineStr"/>
      <c r="H195" s="6" t="inlineStr"/>
      <c r="I195" s="8">
        <f>HYPERLINK("#'savethechildren.in'!A1","read policy")</f>
        <v/>
      </c>
    </row>
    <row r="196">
      <c r="A196" s="6" t="inlineStr">
        <is>
          <t>savethechildren.in</t>
        </is>
      </c>
      <c r="B196" s="6" t="inlineStr">
        <is>
          <t>ngo</t>
        </is>
      </c>
      <c r="C196" s="6" t="n">
        <v>7</v>
      </c>
      <c r="D196" s="7" t="inlineStr">
        <is>
          <t>A commitment to keep personal data accurate, complete and up to date.</t>
        </is>
      </c>
      <c r="E196" s="6" t="inlineStr">
        <is>
          <t>Act S.8(3)</t>
        </is>
      </c>
      <c r="F196" s="6" t="inlineStr">
        <is>
          <t>yes</t>
        </is>
      </c>
      <c r="G196" s="6" t="inlineStr"/>
      <c r="H196" s="6" t="inlineStr"/>
      <c r="I196" s="8">
        <f>HYPERLINK("#'savethechildren.in'!A1","read policy")</f>
        <v/>
      </c>
    </row>
    <row r="197">
      <c r="A197" s="6" t="inlineStr">
        <is>
          <t>savethechildren.in</t>
        </is>
      </c>
      <c r="B197" s="6" t="inlineStr">
        <is>
          <t>ngo</t>
        </is>
      </c>
      <c r="C197" s="6" t="n">
        <v>8</v>
      </c>
      <c r="D197" s="7" t="inlineStr">
        <is>
          <t>A retention period, or an 'erase when the purpose ends' commitment, is stated.</t>
        </is>
      </c>
      <c r="E197" s="6" t="inlineStr">
        <is>
          <t>Rule 8; Act S.8(7)-(8)</t>
        </is>
      </c>
      <c r="F197" s="6" t="inlineStr">
        <is>
          <t>yes</t>
        </is>
      </c>
      <c r="G197" s="6" t="inlineStr"/>
      <c r="H197" s="6" t="inlineStr"/>
      <c r="I197" s="8">
        <f>HYPERLINK("#'savethechildren.in'!A1","read policy")</f>
        <v/>
      </c>
    </row>
    <row r="198">
      <c r="A198" s="6" t="inlineStr">
        <is>
          <t>savethechildren.in</t>
        </is>
      </c>
      <c r="B198" s="6" t="inlineStr">
        <is>
          <t>ngo</t>
        </is>
      </c>
      <c r="C198" s="6" t="n">
        <v>9</v>
      </c>
      <c r="D198" s="7" t="inlineStr">
        <is>
          <t>Reasonable security safeguards (encryption, access control) are disclosed.</t>
        </is>
      </c>
      <c r="E198" s="6" t="inlineStr">
        <is>
          <t>Rule 6; Act S.8(5)</t>
        </is>
      </c>
      <c r="F198" s="6" t="inlineStr">
        <is>
          <t>yes</t>
        </is>
      </c>
      <c r="G198" s="6" t="inlineStr"/>
      <c r="H198" s="6" t="inlineStr"/>
      <c r="I198" s="8">
        <f>HYPERLINK("#'savethechildren.in'!A1","read policy")</f>
        <v/>
      </c>
    </row>
    <row r="199">
      <c r="A199" s="6" t="inlineStr">
        <is>
          <t>savethechildren.in</t>
        </is>
      </c>
      <c r="B199" s="6" t="inlineStr">
        <is>
          <t>ngo</t>
        </is>
      </c>
      <c r="C199" s="6" t="n">
        <v>10</v>
      </c>
      <c r="D199" s="7" t="inlineStr">
        <is>
          <t>A commitment to notify affected users and the Board of a personal-data breach.</t>
        </is>
      </c>
      <c r="E199" s="6" t="inlineStr">
        <is>
          <t>Rule 7; Act S.8(6)</t>
        </is>
      </c>
      <c r="F199" s="6" t="inlineStr">
        <is>
          <t>yes</t>
        </is>
      </c>
      <c r="G199" s="6" t="inlineStr"/>
      <c r="H199" s="6" t="inlineStr"/>
      <c r="I199" s="8">
        <f>HYPERLINK("#'savethechildren.in'!A1","read policy")</f>
        <v/>
      </c>
    </row>
    <row r="200">
      <c r="A200" s="6" t="inlineStr">
        <is>
          <t>savethechildren.in</t>
        </is>
      </c>
      <c r="B200" s="6" t="inlineStr">
        <is>
          <t>ngo</t>
        </is>
      </c>
      <c r="C200" s="6" t="n">
        <v>11</v>
      </c>
      <c r="D200" s="7" t="inlineStr">
        <is>
          <t>Withdrawal of consent is offered and is as easy as giving it, with a route stated.</t>
        </is>
      </c>
      <c r="E200" s="6" t="inlineStr">
        <is>
          <t>Rule 3; Act S.6(4)</t>
        </is>
      </c>
      <c r="F200" s="6" t="inlineStr">
        <is>
          <t>yes</t>
        </is>
      </c>
      <c r="G200" s="6" t="inlineStr"/>
      <c r="H200" s="6" t="inlineStr"/>
      <c r="I200" s="8">
        <f>HYPERLINK("#'savethechildren.in'!A1","read policy")</f>
        <v/>
      </c>
    </row>
    <row r="201">
      <c r="A201" s="6" t="inlineStr">
        <is>
          <t>savethechildren.in</t>
        </is>
      </c>
      <c r="B201" s="6" t="inlineStr">
        <is>
          <t>ngo</t>
        </is>
      </c>
      <c r="C201" s="6" t="n">
        <v>12</v>
      </c>
      <c r="D201" s="7" t="inlineStr">
        <is>
          <t>Consent is a clear affirmative action, unbundled, not pre-ticked or implied.</t>
        </is>
      </c>
      <c r="E201" s="6" t="inlineStr">
        <is>
          <t>Act S.6</t>
        </is>
      </c>
      <c r="F201" s="6" t="inlineStr">
        <is>
          <t>yes</t>
        </is>
      </c>
      <c r="G201" s="6" t="inlineStr"/>
      <c r="H201" s="6" t="inlineStr"/>
      <c r="I201" s="8">
        <f>HYPERLINK("#'savethechildren.in'!A1","read policy")</f>
        <v/>
      </c>
    </row>
    <row r="202">
      <c r="A202" s="6" t="inlineStr">
        <is>
          <t>savethechildren.in</t>
        </is>
      </c>
      <c r="B202" s="6" t="inlineStr">
        <is>
          <t>ngo</t>
        </is>
      </c>
      <c r="C202" s="6" t="n">
        <v>13</v>
      </c>
      <c r="D202" s="7" t="inlineStr">
        <is>
          <t>The Consent Manager route is acknowledged where relevant.</t>
        </is>
      </c>
      <c r="E202" s="6" t="inlineStr">
        <is>
          <t>Rule 4; Act S.6(7)</t>
        </is>
      </c>
      <c r="F202" s="6" t="inlineStr">
        <is>
          <t>yes</t>
        </is>
      </c>
      <c r="G202" s="6" t="inlineStr"/>
      <c r="H202" s="6" t="inlineStr"/>
      <c r="I202" s="8">
        <f>HYPERLINK("#'savethechildren.in'!A1","read policy")</f>
        <v/>
      </c>
    </row>
    <row r="203">
      <c r="A203" s="6" t="inlineStr">
        <is>
          <t>savethechildren.in</t>
        </is>
      </c>
      <c r="B203" s="6" t="inlineStr">
        <is>
          <t>ngo</t>
        </is>
      </c>
      <c r="C203" s="6" t="n">
        <v>14</v>
      </c>
      <c r="D203" s="7" t="inlineStr">
        <is>
          <t>Users can review consent given / records of consent are maintained.</t>
        </is>
      </c>
      <c r="E203" s="6" t="inlineStr">
        <is>
          <t>Act S.6(6)</t>
        </is>
      </c>
      <c r="F203" s="6" t="inlineStr">
        <is>
          <t>yes</t>
        </is>
      </c>
      <c r="G203" s="6" t="inlineStr"/>
      <c r="H203" s="6" t="inlineStr"/>
      <c r="I203" s="8">
        <f>HYPERLINK("#'savethechildren.in'!A1","read policy")</f>
        <v/>
      </c>
    </row>
    <row r="204">
      <c r="A204" s="6" t="inlineStr">
        <is>
          <t>savethechildren.in</t>
        </is>
      </c>
      <c r="B204" s="6" t="inlineStr">
        <is>
          <t>ngo</t>
        </is>
      </c>
      <c r="C204" s="6" t="n">
        <v>15</v>
      </c>
      <c r="D204" s="7" t="inlineStr">
        <is>
          <t>Verifiable parental consent for under-18s, and no tracking, behavioural monitoring or targeted ads to children.</t>
        </is>
      </c>
      <c r="E204" s="6" t="inlineStr">
        <is>
          <t>Act S.9</t>
        </is>
      </c>
      <c r="F204" s="6" t="inlineStr">
        <is>
          <t>yes</t>
        </is>
      </c>
      <c r="G204" s="6" t="inlineStr"/>
      <c r="H204" s="6" t="inlineStr"/>
      <c r="I204" s="8">
        <f>HYPERLINK("#'savethechildren.in'!A1","read policy")</f>
        <v/>
      </c>
    </row>
    <row r="205">
      <c r="A205" s="6" t="inlineStr">
        <is>
          <t>savethechildren.in</t>
        </is>
      </c>
      <c r="B205" s="6" t="inlineStr">
        <is>
          <t>ngo</t>
        </is>
      </c>
      <c r="C205" s="6" t="n">
        <v>16</v>
      </c>
      <c r="D205" s="7" t="inlineStr">
        <is>
          <t>The right to access a summary of personal data being processed is disclosed.</t>
        </is>
      </c>
      <c r="E205" s="6" t="inlineStr">
        <is>
          <t>Act S.11</t>
        </is>
      </c>
      <c r="F205" s="6" t="inlineStr">
        <is>
          <t>yes</t>
        </is>
      </c>
      <c r="G205" s="6" t="inlineStr"/>
      <c r="H205" s="6" t="inlineStr"/>
      <c r="I205" s="8">
        <f>HYPERLINK("#'savethechildren.in'!A1","read policy")</f>
        <v/>
      </c>
    </row>
    <row r="206">
      <c r="A206" s="6" t="inlineStr">
        <is>
          <t>savethechildren.in</t>
        </is>
      </c>
      <c r="B206" s="6" t="inlineStr">
        <is>
          <t>ngo</t>
        </is>
      </c>
      <c r="C206" s="6" t="n">
        <v>17</v>
      </c>
      <c r="D206" s="7" t="inlineStr">
        <is>
          <t>The right to correction of personal data is disclosed.</t>
        </is>
      </c>
      <c r="E206" s="6" t="inlineStr">
        <is>
          <t>Act S.12</t>
        </is>
      </c>
      <c r="F206" s="6" t="inlineStr">
        <is>
          <t>yes</t>
        </is>
      </c>
      <c r="G206" s="6" t="inlineStr"/>
      <c r="H206" s="6" t="inlineStr"/>
      <c r="I206" s="8">
        <f>HYPERLINK("#'savethechildren.in'!A1","read policy")</f>
        <v/>
      </c>
    </row>
    <row r="207">
      <c r="A207" s="6" t="inlineStr">
        <is>
          <t>savethechildren.in</t>
        </is>
      </c>
      <c r="B207" s="6" t="inlineStr">
        <is>
          <t>ngo</t>
        </is>
      </c>
      <c r="C207" s="6" t="n">
        <v>18</v>
      </c>
      <c r="D207" s="7" t="inlineStr">
        <is>
          <t>The right to erasure of personal data is disclosed.</t>
        </is>
      </c>
      <c r="E207" s="6" t="inlineStr">
        <is>
          <t>Act S.12</t>
        </is>
      </c>
      <c r="F207" s="6" t="inlineStr">
        <is>
          <t>yes</t>
        </is>
      </c>
      <c r="G207" s="6" t="inlineStr"/>
      <c r="H207" s="6" t="inlineStr"/>
      <c r="I207" s="8">
        <f>HYPERLINK("#'savethechildren.in'!A1","read policy")</f>
        <v/>
      </c>
    </row>
    <row r="208">
      <c r="A208" s="6" t="inlineStr">
        <is>
          <t>savethechildren.in</t>
        </is>
      </c>
      <c r="B208" s="6" t="inlineStr">
        <is>
          <t>ngo</t>
        </is>
      </c>
      <c r="C208" s="6" t="n">
        <v>19</v>
      </c>
      <c r="D208" s="7" t="inlineStr">
        <is>
          <t>A readily available grievance-redressal route is disclosed.</t>
        </is>
      </c>
      <c r="E208" s="6" t="inlineStr">
        <is>
          <t>Act S.13</t>
        </is>
      </c>
      <c r="F208" s="6" t="inlineStr">
        <is>
          <t>yes</t>
        </is>
      </c>
      <c r="G208" s="6" t="inlineStr"/>
      <c r="H208" s="6" t="inlineStr"/>
      <c r="I208" s="8">
        <f>HYPERLINK("#'savethechildren.in'!A1","read policy")</f>
        <v/>
      </c>
    </row>
    <row r="209">
      <c r="A209" s="6" t="inlineStr">
        <is>
          <t>savethechildren.in</t>
        </is>
      </c>
      <c r="B209" s="6" t="inlineStr">
        <is>
          <t>ngo</t>
        </is>
      </c>
      <c r="C209" s="6" t="n">
        <v>20</v>
      </c>
      <c r="D209" s="7" t="inlineStr">
        <is>
          <t>The right to nominate is disclosed.</t>
        </is>
      </c>
      <c r="E209" s="6" t="inlineStr">
        <is>
          <t>Act S.14</t>
        </is>
      </c>
      <c r="F209" s="6" t="inlineStr">
        <is>
          <t>yes</t>
        </is>
      </c>
      <c r="G209" s="6" t="inlineStr"/>
      <c r="H209" s="6" t="inlineStr"/>
      <c r="I209" s="8">
        <f>HYPERLINK("#'savethechildren.in'!A1","read policy")</f>
        <v/>
      </c>
    </row>
    <row r="210">
      <c r="A210" s="6" t="inlineStr">
        <is>
          <t>savethechildren.in</t>
        </is>
      </c>
      <c r="B210" s="6" t="inlineStr">
        <is>
          <t>ngo</t>
        </is>
      </c>
      <c r="C210" s="6" t="n">
        <v>21</v>
      </c>
      <c r="D210" s="7" t="inlineStr">
        <is>
          <t>A reachable grievance officer or business contact for data queries is published.</t>
        </is>
      </c>
      <c r="E210" s="6" t="inlineStr">
        <is>
          <t>Act S.8(9)-(10), S.13</t>
        </is>
      </c>
      <c r="F210" s="6" t="inlineStr">
        <is>
          <t>yes</t>
        </is>
      </c>
      <c r="G210" s="6" t="inlineStr"/>
      <c r="H210" s="6" t="inlineStr"/>
      <c r="I210" s="8">
        <f>HYPERLINK("#'savethechildren.in'!A1","read policy")</f>
        <v/>
      </c>
    </row>
    <row r="211">
      <c r="A211" s="6" t="inlineStr">
        <is>
          <t>savethechildren.in</t>
        </is>
      </c>
      <c r="B211" s="6" t="inlineStr">
        <is>
          <t>ngo</t>
        </is>
      </c>
      <c r="C211" s="6" t="n">
        <v>22</v>
      </c>
      <c r="D211" s="7" t="inlineStr">
        <is>
          <t>A Data Protection Officer is appointed and published (Significant Data Fiduciary).</t>
        </is>
      </c>
      <c r="E211" s="6" t="inlineStr">
        <is>
          <t>Rule 13; Act S.10</t>
        </is>
      </c>
      <c r="F211" s="6" t="inlineStr">
        <is>
          <t>yes</t>
        </is>
      </c>
      <c r="G211" s="6" t="inlineStr"/>
      <c r="H211" s="6" t="inlineStr"/>
      <c r="I211" s="8">
        <f>HYPERLINK("#'savethechildren.in'!A1","read policy")</f>
        <v/>
      </c>
    </row>
    <row r="212">
      <c r="A212" s="6" t="inlineStr">
        <is>
          <t>savethechildren.in</t>
        </is>
      </c>
      <c r="B212" s="6" t="inlineStr">
        <is>
          <t>ngo</t>
        </is>
      </c>
      <c r="C212" s="6" t="n">
        <v>23</v>
      </c>
      <c r="D212" s="7" t="inlineStr">
        <is>
          <t>Processors engaged only under a valid contract.</t>
        </is>
      </c>
      <c r="E212" s="6" t="inlineStr">
        <is>
          <t>Act S.8(2)</t>
        </is>
      </c>
      <c r="F212" s="6" t="inlineStr">
        <is>
          <t>yes</t>
        </is>
      </c>
      <c r="G212" s="6" t="inlineStr"/>
      <c r="H212" s="6" t="inlineStr"/>
      <c r="I212" s="8">
        <f>HYPERLINK("#'savethechildren.in'!A1","read policy")</f>
        <v/>
      </c>
    </row>
    <row r="213">
      <c r="A213" s="6" t="inlineStr">
        <is>
          <t>savethechildren.in</t>
        </is>
      </c>
      <c r="B213" s="6" t="inlineStr">
        <is>
          <t>ngo</t>
        </is>
      </c>
      <c r="C213" s="6" t="n">
        <v>24</v>
      </c>
      <c r="D213" s="7" t="inlineStr">
        <is>
          <t>Third parties / recipients of data sharing are disclosed.</t>
        </is>
      </c>
      <c r="E213" s="6" t="inlineStr">
        <is>
          <t>Act S.8(2)</t>
        </is>
      </c>
      <c r="F213" s="6" t="inlineStr">
        <is>
          <t>yes</t>
        </is>
      </c>
      <c r="G213" s="6" t="inlineStr"/>
      <c r="H213" s="6" t="inlineStr"/>
      <c r="I213" s="8">
        <f>HYPERLINK("#'savethechildren.in'!A1","read policy")</f>
        <v/>
      </c>
    </row>
    <row r="214">
      <c r="A214" s="6" t="inlineStr">
        <is>
          <t>savethechildren.in</t>
        </is>
      </c>
      <c r="B214" s="6" t="inlineStr">
        <is>
          <t>ngo</t>
        </is>
      </c>
      <c r="C214" s="6" t="n">
        <v>25</v>
      </c>
      <c r="D214" s="7" t="inlineStr">
        <is>
          <t>Sub-processor oversight is addressed.</t>
        </is>
      </c>
      <c r="E214" s="6" t="inlineStr">
        <is>
          <t>Rule 6; Act S.8(2)</t>
        </is>
      </c>
      <c r="F214" s="6" t="inlineStr">
        <is>
          <t>yes</t>
        </is>
      </c>
      <c r="G214" s="6" t="inlineStr"/>
      <c r="H214" s="6" t="inlineStr"/>
      <c r="I214" s="8">
        <f>HYPERLINK("#'savethechildren.in'!A1","read policy")</f>
        <v/>
      </c>
    </row>
    <row r="215">
      <c r="A215" s="6" t="inlineStr">
        <is>
          <t>savethechildren.in</t>
        </is>
      </c>
      <c r="B215" s="6" t="inlineStr">
        <is>
          <t>ngo</t>
        </is>
      </c>
      <c r="C215" s="6" t="n">
        <v>26</v>
      </c>
      <c r="D215" s="7" t="inlineStr">
        <is>
          <t>Security obligations flow down to processors.</t>
        </is>
      </c>
      <c r="E215" s="6" t="inlineStr">
        <is>
          <t>Rule 6; Act S.8(2)</t>
        </is>
      </c>
      <c r="F215" s="6" t="inlineStr">
        <is>
          <t>yes</t>
        </is>
      </c>
      <c r="G215" s="6" t="inlineStr"/>
      <c r="H215" s="6" t="inlineStr"/>
      <c r="I215" s="8">
        <f>HYPERLINK("#'savethechildren.in'!A1","read policy")</f>
        <v/>
      </c>
    </row>
    <row r="216">
      <c r="A216" s="6" t="inlineStr">
        <is>
          <t>savethechildren.in</t>
        </is>
      </c>
      <c r="B216" s="6" t="inlineStr">
        <is>
          <t>ngo</t>
        </is>
      </c>
      <c r="C216" s="6" t="n">
        <v>27</v>
      </c>
      <c r="D216" s="7" t="inlineStr">
        <is>
          <t>Transfers of personal data outside India are disclosed.</t>
        </is>
      </c>
      <c r="E216" s="6" t="inlineStr">
        <is>
          <t>Act S.16</t>
        </is>
      </c>
      <c r="F216" s="6" t="inlineStr">
        <is>
          <t>yes</t>
        </is>
      </c>
      <c r="G216" s="6" t="inlineStr"/>
      <c r="H216" s="6" t="inlineStr"/>
      <c r="I216" s="8">
        <f>HYPERLINK("#'savethechildren.in'!A1","read policy")</f>
        <v/>
      </c>
    </row>
    <row r="217">
      <c r="A217" s="6" t="inlineStr">
        <is>
          <t>savethechildren.in</t>
        </is>
      </c>
      <c r="B217" s="6" t="inlineStr">
        <is>
          <t>ngo</t>
        </is>
      </c>
      <c r="C217" s="6" t="n">
        <v>28</v>
      </c>
      <c r="D217" s="7" t="inlineStr">
        <is>
          <t>Compliance with any restricted-country notification is addressed.</t>
        </is>
      </c>
      <c r="E217" s="6" t="inlineStr">
        <is>
          <t>Act S.16</t>
        </is>
      </c>
      <c r="F217" s="6" t="inlineStr">
        <is>
          <t>yes</t>
        </is>
      </c>
      <c r="G217" s="6" t="inlineStr"/>
      <c r="H217" s="6" t="inlineStr"/>
      <c r="I217" s="8">
        <f>HYPERLINK("#'savethechildren.in'!A1","read policy")</f>
        <v/>
      </c>
    </row>
    <row r="218">
      <c r="A218" s="6" t="inlineStr">
        <is>
          <t>savethechildren.in</t>
        </is>
      </c>
      <c r="B218" s="6" t="inlineStr">
        <is>
          <t>ngo</t>
        </is>
      </c>
      <c r="C218" s="6" t="n">
        <v>29</v>
      </c>
      <c r="D218" s="7" t="inlineStr">
        <is>
          <t>Data storage location is disclosed.</t>
        </is>
      </c>
      <c r="E218" s="6" t="inlineStr">
        <is>
          <t>Act S.16</t>
        </is>
      </c>
      <c r="F218" s="6" t="inlineStr">
        <is>
          <t>yes</t>
        </is>
      </c>
      <c r="G218" s="6" t="inlineStr"/>
      <c r="H218" s="6" t="inlineStr"/>
      <c r="I218" s="8">
        <f>HYPERLINK("#'savethechildren.in'!A1","read policy")</f>
        <v/>
      </c>
    </row>
    <row r="219">
      <c r="A219" s="6" t="inlineStr">
        <is>
          <t>savethechildren.in</t>
        </is>
      </c>
      <c r="B219" s="6" t="inlineStr">
        <is>
          <t>ngo</t>
        </is>
      </c>
      <c r="C219" s="6" t="n">
        <v>30</v>
      </c>
      <c r="D219" s="7" t="inlineStr">
        <is>
          <t>A Data Protection Impact Assessment is undertaken (Significant Data Fiduciary).</t>
        </is>
      </c>
      <c r="E219" s="6" t="inlineStr">
        <is>
          <t>Rule 13; Act S.10</t>
        </is>
      </c>
      <c r="F219" s="6" t="inlineStr">
        <is>
          <t>yes</t>
        </is>
      </c>
      <c r="G219" s="6" t="inlineStr"/>
      <c r="H219" s="6" t="inlineStr"/>
      <c r="I219" s="8">
        <f>HYPERLINK("#'savethechildren.in'!A1","read policy")</f>
        <v/>
      </c>
    </row>
    <row r="220">
      <c r="A220" s="6" t="inlineStr">
        <is>
          <t>savethechildren.in</t>
        </is>
      </c>
      <c r="B220" s="6" t="inlineStr">
        <is>
          <t>ngo</t>
        </is>
      </c>
      <c r="C220" s="6" t="n">
        <v>31</v>
      </c>
      <c r="D220" s="7" t="inlineStr">
        <is>
          <t>Privacy by design and periodic audit are addressed.</t>
        </is>
      </c>
      <c r="E220" s="6" t="inlineStr">
        <is>
          <t>Rule 13; Act S.8</t>
        </is>
      </c>
      <c r="F220" s="6" t="inlineStr">
        <is>
          <t>yes</t>
        </is>
      </c>
      <c r="G220" s="6" t="inlineStr"/>
      <c r="H220" s="6" t="inlineStr"/>
      <c r="I220" s="8">
        <f>HYPERLINK("#'savethechildren.in'!A1","read policy")</f>
        <v/>
      </c>
    </row>
    <row r="221">
      <c r="A221" s="6" t="inlineStr">
        <is>
          <t>savethechildren.in</t>
        </is>
      </c>
      <c r="B221" s="6" t="inlineStr">
        <is>
          <t>ngo</t>
        </is>
      </c>
      <c r="C221" s="6" t="n">
        <v>32</v>
      </c>
      <c r="D221" s="7" t="inlineStr">
        <is>
          <t>Data-minimisation measures by design are addressed.</t>
        </is>
      </c>
      <c r="E221" s="6" t="inlineStr">
        <is>
          <t>Act S.8</t>
        </is>
      </c>
      <c r="F221" s="6" t="inlineStr">
        <is>
          <t>yes</t>
        </is>
      </c>
      <c r="G221" s="6" t="inlineStr"/>
      <c r="H221" s="6" t="inlineStr"/>
      <c r="I221" s="8">
        <f>HYPERLINK("#'savethechildren.in'!A1","read policy")</f>
        <v/>
      </c>
    </row>
    <row r="222">
      <c r="A222" s="6" t="inlineStr">
        <is>
          <t>savethechildren.in</t>
        </is>
      </c>
      <c r="B222" s="6" t="inlineStr">
        <is>
          <t>ngo</t>
        </is>
      </c>
      <c r="C222" s="6" t="n">
        <v>33</v>
      </c>
      <c r="D222" s="7" t="inlineStr">
        <is>
          <t>A published privacy policy exists and is reachable.</t>
        </is>
      </c>
      <c r="E222" s="6" t="inlineStr">
        <is>
          <t>Rule 3; Act S.5</t>
        </is>
      </c>
      <c r="F222" s="6" t="inlineStr">
        <is>
          <t>yes</t>
        </is>
      </c>
      <c r="G222" s="6" t="inlineStr"/>
      <c r="H222" s="6" t="inlineStr"/>
      <c r="I222" s="8">
        <f>HYPERLINK("#'savethechildren.in'!A1","read policy")</f>
        <v/>
      </c>
    </row>
    <row r="223">
      <c r="A223" s="6" t="inlineStr">
        <is>
          <t>savethechildren.in</t>
        </is>
      </c>
      <c r="B223" s="6" t="inlineStr">
        <is>
          <t>ngo</t>
        </is>
      </c>
      <c r="C223" s="6" t="n">
        <v>34</v>
      </c>
      <c r="D223" s="7" t="inlineStr">
        <is>
          <t>A cookie policy / tracker disclosure is published.</t>
        </is>
      </c>
      <c r="E223" s="6" t="inlineStr">
        <is>
          <t>Rule 3; Act S.5</t>
        </is>
      </c>
      <c r="F223" s="6" t="inlineStr">
        <is>
          <t>yes</t>
        </is>
      </c>
      <c r="G223" s="6" t="inlineStr"/>
      <c r="H223" s="6" t="inlineStr"/>
      <c r="I223" s="8">
        <f>HYPERLINK("#'savethechildren.in'!A1","read policy")</f>
        <v/>
      </c>
    </row>
    <row r="224">
      <c r="A224" s="6" t="inlineStr">
        <is>
          <t>savethechildren.in</t>
        </is>
      </c>
      <c r="B224" s="6" t="inlineStr">
        <is>
          <t>ngo</t>
        </is>
      </c>
      <c r="C224" s="6" t="n">
        <v>35</v>
      </c>
      <c r="D224" s="7" t="inlineStr">
        <is>
          <t>Terms of service are published.</t>
        </is>
      </c>
      <c r="E224" s="6" t="inlineStr">
        <is>
          <t>Act S.5</t>
        </is>
      </c>
      <c r="F224" s="6" t="inlineStr">
        <is>
          <t>yes</t>
        </is>
      </c>
      <c r="G224" s="6" t="inlineStr"/>
      <c r="H224" s="6" t="inlineStr"/>
      <c r="I224" s="8">
        <f>HYPERLINK("#'savethechildren.in'!A1","read policy")</f>
        <v/>
      </c>
    </row>
    <row r="225">
      <c r="A225" s="6" t="inlineStr">
        <is>
          <t>savethechildren.in</t>
        </is>
      </c>
      <c r="B225" s="6" t="inlineStr">
        <is>
          <t>ngo</t>
        </is>
      </c>
      <c r="C225" s="6" t="n">
        <v>36</v>
      </c>
      <c r="D225" s="7" t="inlineStr">
        <is>
          <t>Notice is available in an accessible form (and Indian languages where relevant).</t>
        </is>
      </c>
      <c r="E225" s="6" t="inlineStr">
        <is>
          <t>Rule 3; Act S.5</t>
        </is>
      </c>
      <c r="F225" s="6" t="inlineStr">
        <is>
          <t>yes</t>
        </is>
      </c>
      <c r="G225" s="6" t="inlineStr"/>
      <c r="H225" s="6" t="inlineStr"/>
      <c r="I225" s="8">
        <f>HYPERLINK("#'savethechildren.in'!A1","read policy")</f>
        <v/>
      </c>
    </row>
    <row r="226">
      <c r="A226" s="6" t="inlineStr">
        <is>
          <t>savethechildren.in</t>
        </is>
      </c>
      <c r="B226" s="6" t="inlineStr">
        <is>
          <t>ngo</t>
        </is>
      </c>
      <c r="C226" s="6" t="n">
        <v>37</v>
      </c>
      <c r="D226" s="7" t="inlineStr">
        <is>
          <t>Registered office / entity contact details are published.</t>
        </is>
      </c>
      <c r="E226" s="6" t="inlineStr">
        <is>
          <t>Act S.8(9)</t>
        </is>
      </c>
      <c r="F226" s="6" t="inlineStr">
        <is>
          <t>yes</t>
        </is>
      </c>
      <c r="G226" s="6" t="inlineStr"/>
      <c r="H226" s="6" t="inlineStr"/>
      <c r="I226" s="8">
        <f>HYPERLINK("#'savethechildren.in'!A1","read policy")</f>
        <v/>
      </c>
    </row>
    <row r="227">
      <c r="A227" s="6" t="inlineStr">
        <is>
          <t>savethechildren.in</t>
        </is>
      </c>
      <c r="B227" s="6" t="inlineStr">
        <is>
          <t>ngo</t>
        </is>
      </c>
      <c r="C227" s="6" t="n">
        <v>38</v>
      </c>
      <c r="D227" s="7" t="inlineStr">
        <is>
          <t>The site serves over HTTPS (encryption in transit).</t>
        </is>
      </c>
      <c r="E227" s="6" t="inlineStr">
        <is>
          <t>Rule 6; Act S.8(5)</t>
        </is>
      </c>
      <c r="F227" s="6" t="inlineStr">
        <is>
          <t>yes</t>
        </is>
      </c>
      <c r="G227" s="6" t="inlineStr"/>
      <c r="H227" s="6" t="inlineStr"/>
      <c r="I227" s="8">
        <f>HYPERLINK("#'savethechildren.in'!A1","read policy")</f>
        <v/>
      </c>
    </row>
    <row r="228">
      <c r="A228" s="6" t="inlineStr">
        <is>
          <t>savethechildren.in</t>
        </is>
      </c>
      <c r="B228" s="6" t="inlineStr">
        <is>
          <t>ngo</t>
        </is>
      </c>
      <c r="C228" s="6" t="n">
        <v>39</v>
      </c>
      <c r="D228" s="7" t="inlineStr">
        <is>
          <t>Encryption at rest is disclosed.</t>
        </is>
      </c>
      <c r="E228" s="6" t="inlineStr">
        <is>
          <t>Rule 6; Act S.8(5)</t>
        </is>
      </c>
      <c r="F228" s="6" t="inlineStr">
        <is>
          <t>yes</t>
        </is>
      </c>
      <c r="G228" s="6" t="inlineStr"/>
      <c r="H228" s="6" t="inlineStr"/>
      <c r="I228" s="8">
        <f>HYPERLINK("#'savethechildren.in'!A1","read policy")</f>
        <v/>
      </c>
    </row>
    <row r="229">
      <c r="A229" s="6" t="inlineStr">
        <is>
          <t>savethechildren.in</t>
        </is>
      </c>
      <c r="B229" s="6" t="inlineStr">
        <is>
          <t>ngo</t>
        </is>
      </c>
      <c r="C229" s="6" t="n">
        <v>40</v>
      </c>
      <c r="D229" s="7" t="inlineStr">
        <is>
          <t>Access controls and logging are disclosed.</t>
        </is>
      </c>
      <c r="E229" s="6" t="inlineStr">
        <is>
          <t>Rule 6; Act S.8(5)</t>
        </is>
      </c>
      <c r="F229" s="6" t="inlineStr">
        <is>
          <t>yes</t>
        </is>
      </c>
      <c r="G229" s="6" t="inlineStr"/>
      <c r="H229" s="6" t="inlineStr"/>
      <c r="I229" s="8">
        <f>HYPERLINK("#'savethechildren.in'!A1","read policy")</f>
        <v/>
      </c>
    </row>
    <row r="230">
      <c r="A230" s="6" t="inlineStr">
        <is>
          <t>savethechildren.in</t>
        </is>
      </c>
      <c r="B230" s="6" t="inlineStr">
        <is>
          <t>ngo</t>
        </is>
      </c>
      <c r="C230" s="6" t="n">
        <v>41</v>
      </c>
      <c r="D230" s="7" t="inlineStr">
        <is>
          <t>An internal data-protection policy / governance is in place.</t>
        </is>
      </c>
      <c r="E230" s="6" t="inlineStr">
        <is>
          <t>Act S.8</t>
        </is>
      </c>
      <c r="F230" s="6" t="inlineStr">
        <is>
          <t>yes</t>
        </is>
      </c>
      <c r="G230" s="6" t="inlineStr"/>
      <c r="H230" s="6" t="inlineStr"/>
      <c r="I230" s="8">
        <f>HYPERLINK("#'savethechildren.in'!A1","read policy")</f>
        <v/>
      </c>
    </row>
    <row r="231">
      <c r="A231" s="6" t="inlineStr">
        <is>
          <t>savethechildren.in</t>
        </is>
      </c>
      <c r="B231" s="6" t="inlineStr">
        <is>
          <t>ngo</t>
        </is>
      </c>
      <c r="C231" s="6" t="n">
        <v>42</v>
      </c>
      <c r="D231" s="7" t="inlineStr">
        <is>
          <t>Staff are trained on data protection.</t>
        </is>
      </c>
      <c r="E231" s="6" t="inlineStr">
        <is>
          <t>Act Rule 13</t>
        </is>
      </c>
      <c r="F231" s="6" t="inlineStr">
        <is>
          <t>yes</t>
        </is>
      </c>
      <c r="G231" s="6" t="inlineStr"/>
      <c r="H231" s="6" t="inlineStr"/>
      <c r="I231" s="8">
        <f>HYPERLINK("#'savethechildren.in'!A1","read policy")</f>
        <v/>
      </c>
    </row>
    <row r="232">
      <c r="A232" s="6" t="inlineStr">
        <is>
          <t>savethechildren.in</t>
        </is>
      </c>
      <c r="B232" s="6" t="inlineStr">
        <is>
          <t>ngo</t>
        </is>
      </c>
      <c r="C232" s="6" t="n">
        <v>43</v>
      </c>
      <c r="D232" s="7" t="inlineStr">
        <is>
          <t>Records of processing activities are maintained.</t>
        </is>
      </c>
      <c r="E232" s="6" t="inlineStr">
        <is>
          <t>Act S.8</t>
        </is>
      </c>
      <c r="F232" s="6" t="inlineStr">
        <is>
          <t>yes</t>
        </is>
      </c>
      <c r="G232" s="6" t="inlineStr"/>
      <c r="H232" s="6" t="inlineStr"/>
      <c r="I232" s="8">
        <f>HYPERLINK("#'savethechildren.in'!A1","read policy")</f>
        <v/>
      </c>
    </row>
    <row r="233">
      <c r="A233" s="6" t="inlineStr">
        <is>
          <t>savethechildren.in</t>
        </is>
      </c>
      <c r="B233" s="6" t="inlineStr">
        <is>
          <t>ngo</t>
        </is>
      </c>
      <c r="C233" s="6" t="n">
        <v>44</v>
      </c>
      <c r="D233" s="7" t="inlineStr">
        <is>
          <t>An incident-response plan exists.</t>
        </is>
      </c>
      <c r="E233" s="6" t="inlineStr">
        <is>
          <t>Rule 7; Act S.8(6)</t>
        </is>
      </c>
      <c r="F233" s="6" t="inlineStr">
        <is>
          <t>yes</t>
        </is>
      </c>
      <c r="G233" s="6" t="inlineStr"/>
      <c r="H233" s="6" t="inlineStr"/>
      <c r="I233" s="8">
        <f>HYPERLINK("#'savethechildren.in'!A1","read policy")</f>
        <v/>
      </c>
    </row>
    <row r="234">
      <c r="A234" s="6" t="inlineStr">
        <is>
          <t>savethechildren.in</t>
        </is>
      </c>
      <c r="B234" s="6" t="inlineStr">
        <is>
          <t>ngo</t>
        </is>
      </c>
      <c r="C234" s="6" t="n">
        <v>45</v>
      </c>
      <c r="D234" s="7" t="inlineStr">
        <is>
          <t>Vendor / third-party risk management is addressed.</t>
        </is>
      </c>
      <c r="E234" s="6" t="inlineStr">
        <is>
          <t>Act Rule 6</t>
        </is>
      </c>
      <c r="F234" s="6" t="inlineStr">
        <is>
          <t>yes</t>
        </is>
      </c>
      <c r="G234" s="6" t="inlineStr"/>
      <c r="H234" s="6" t="inlineStr"/>
      <c r="I234" s="8">
        <f>HYPERLINK("#'savethechildren.in'!A1","read policy")</f>
        <v/>
      </c>
    </row>
    <row r="235">
      <c r="A235" s="6" t="inlineStr">
        <is>
          <t>savethechildren.in</t>
        </is>
      </c>
      <c r="B235" s="6" t="inlineStr">
        <is>
          <t>ngo</t>
        </is>
      </c>
      <c r="C235" s="6" t="n">
        <v>46</v>
      </c>
      <c r="D235" s="7" t="inlineStr">
        <is>
          <t>Significant-Data-Fiduciary obligations / Board reporting are addressed where applicable.</t>
        </is>
      </c>
      <c r="E235" s="6" t="inlineStr">
        <is>
          <t>Rule 13; Act S.10</t>
        </is>
      </c>
      <c r="F235" s="6" t="inlineStr">
        <is>
          <t>yes</t>
        </is>
      </c>
      <c r="G235" s="6" t="inlineStr"/>
      <c r="H235" s="6" t="inlineStr"/>
      <c r="I235" s="8">
        <f>HYPERLINK("#'savethechildren.in'!A1","read policy")</f>
        <v/>
      </c>
    </row>
    <row r="236">
      <c r="A236" s="6" t="inlineStr">
        <is>
          <t>savethechildren.in</t>
        </is>
      </c>
      <c r="B236" s="6" t="inlineStr">
        <is>
          <t>ngo</t>
        </is>
      </c>
      <c r="C236" s="6" t="n">
        <v>47</v>
      </c>
      <c r="D236" s="7" t="inlineStr">
        <is>
          <t>A periodic compliance review / audit is performed.</t>
        </is>
      </c>
      <c r="E236" s="6" t="inlineStr">
        <is>
          <t>Act Rule 13</t>
        </is>
      </c>
      <c r="F236" s="6" t="inlineStr">
        <is>
          <t>yes</t>
        </is>
      </c>
      <c r="G236" s="6" t="inlineStr"/>
      <c r="H236" s="6" t="inlineStr"/>
      <c r="I236" s="8">
        <f>HYPERLINK("#'savethechildren.in'!A1","read policy")</f>
        <v/>
      </c>
    </row>
    <row r="237">
      <c r="A237" s="9" t="inlineStr">
        <is>
          <t>tatatrusts.org</t>
        </is>
      </c>
      <c r="B237" s="9" t="inlineStr">
        <is>
          <t>ngo</t>
        </is>
      </c>
      <c r="C237" s="9" t="n">
        <v>1</v>
      </c>
      <c r="D237" s="10" t="inlineStr">
        <is>
          <t>The notice itemises the categories of personal data collected, in plain language.</t>
        </is>
      </c>
      <c r="E237" s="9" t="inlineStr">
        <is>
          <t>Rule 3; Act S.5</t>
        </is>
      </c>
      <c r="F237" s="9" t="inlineStr">
        <is>
          <t>yes</t>
        </is>
      </c>
      <c r="G237" s="9" t="inlineStr"/>
      <c r="H237" s="9" t="inlineStr"/>
      <c r="I237" s="11">
        <f>HYPERLINK("#'tatatrusts.org'!A1","read policy")</f>
        <v/>
      </c>
    </row>
    <row r="238">
      <c r="A238" s="9" t="inlineStr">
        <is>
          <t>tatatrusts.org</t>
        </is>
      </c>
      <c r="B238" s="9" t="inlineStr">
        <is>
          <t>ngo</t>
        </is>
      </c>
      <c r="C238" s="9" t="n">
        <v>2</v>
      </c>
      <c r="D238" s="10" t="inlineStr">
        <is>
          <t>A specific purpose is stated for the data collected; generic 'business purposes' is only Partial.</t>
        </is>
      </c>
      <c r="E238" s="9" t="inlineStr">
        <is>
          <t>Rule 3; Act S.6</t>
        </is>
      </c>
      <c r="F238" s="9" t="inlineStr">
        <is>
          <t>yes</t>
        </is>
      </c>
      <c r="G238" s="9" t="inlineStr"/>
      <c r="H238" s="9" t="inlineStr"/>
      <c r="I238" s="11">
        <f>HYPERLINK("#'tatatrusts.org'!A1","read policy")</f>
        <v/>
      </c>
    </row>
    <row r="239">
      <c r="A239" s="9" t="inlineStr">
        <is>
          <t>tatatrusts.org</t>
        </is>
      </c>
      <c r="B239" s="9" t="inlineStr">
        <is>
          <t>ngo</t>
        </is>
      </c>
      <c r="C239" s="9" t="n">
        <v>3</v>
      </c>
      <c r="D239" s="10" t="inlineStr">
        <is>
          <t>The notice is clear, plain-language and understandable on its own.</t>
        </is>
      </c>
      <c r="E239" s="9" t="inlineStr">
        <is>
          <t>Rule 3; Act S.5</t>
        </is>
      </c>
      <c r="F239" s="9" t="inlineStr">
        <is>
          <t>yes</t>
        </is>
      </c>
      <c r="G239" s="9" t="inlineStr"/>
      <c r="H239" s="9" t="inlineStr"/>
      <c r="I239" s="11">
        <f>HYPERLINK("#'tatatrusts.org'!A1","read policy")</f>
        <v/>
      </c>
    </row>
    <row r="240">
      <c r="A240" s="9" t="inlineStr">
        <is>
          <t>tatatrusts.org</t>
        </is>
      </c>
      <c r="B240" s="9" t="inlineStr">
        <is>
          <t>ngo</t>
        </is>
      </c>
      <c r="C240" s="9" t="n">
        <v>4</v>
      </c>
      <c r="D240" s="10" t="inlineStr">
        <is>
          <t>Processing is on a stated lawful basis (consent or a legitimate use).</t>
        </is>
      </c>
      <c r="E240" s="9" t="inlineStr">
        <is>
          <t>Act S.4</t>
        </is>
      </c>
      <c r="F240" s="9" t="inlineStr">
        <is>
          <t>yes</t>
        </is>
      </c>
      <c r="G240" s="9" t="inlineStr"/>
      <c r="H240" s="9" t="inlineStr"/>
      <c r="I240" s="11">
        <f>HYPERLINK("#'tatatrusts.org'!A1","read policy")</f>
        <v/>
      </c>
    </row>
    <row r="241">
      <c r="A241" s="9" t="inlineStr">
        <is>
          <t>tatatrusts.org</t>
        </is>
      </c>
      <c r="B241" s="9" t="inlineStr">
        <is>
          <t>ngo</t>
        </is>
      </c>
      <c r="C241" s="9" t="n">
        <v>5</v>
      </c>
      <c r="D241" s="10" t="inlineStr">
        <is>
          <t>Collection is limited to data necessary for the specified purpose (purpose/data limitation).</t>
        </is>
      </c>
      <c r="E241" s="9" t="inlineStr">
        <is>
          <t>Act S.6(1)</t>
        </is>
      </c>
      <c r="F241" s="9" t="inlineStr">
        <is>
          <t>yes</t>
        </is>
      </c>
      <c r="G241" s="9" t="inlineStr"/>
      <c r="H241" s="9" t="inlineStr"/>
      <c r="I241" s="11">
        <f>HYPERLINK("#'tatatrusts.org'!A1","read policy")</f>
        <v/>
      </c>
    </row>
    <row r="242">
      <c r="A242" s="9" t="inlineStr">
        <is>
          <t>tatatrusts.org</t>
        </is>
      </c>
      <c r="B242" s="9" t="inlineStr">
        <is>
          <t>ngo</t>
        </is>
      </c>
      <c r="C242" s="9" t="n">
        <v>6</v>
      </c>
      <c r="D242" s="10" t="inlineStr">
        <is>
          <t>If legitimate uses are relied upon, they fall within the Act's Section 7 categories.</t>
        </is>
      </c>
      <c r="E242" s="9" t="inlineStr">
        <is>
          <t>Act S.7</t>
        </is>
      </c>
      <c r="F242" s="9" t="inlineStr">
        <is>
          <t>yes</t>
        </is>
      </c>
      <c r="G242" s="9" t="inlineStr"/>
      <c r="H242" s="9" t="inlineStr"/>
      <c r="I242" s="11">
        <f>HYPERLINK("#'tatatrusts.org'!A1","read policy")</f>
        <v/>
      </c>
    </row>
    <row r="243">
      <c r="A243" s="9" t="inlineStr">
        <is>
          <t>tatatrusts.org</t>
        </is>
      </c>
      <c r="B243" s="9" t="inlineStr">
        <is>
          <t>ngo</t>
        </is>
      </c>
      <c r="C243" s="9" t="n">
        <v>7</v>
      </c>
      <c r="D243" s="10" t="inlineStr">
        <is>
          <t>A commitment to keep personal data accurate, complete and up to date.</t>
        </is>
      </c>
      <c r="E243" s="9" t="inlineStr">
        <is>
          <t>Act S.8(3)</t>
        </is>
      </c>
      <c r="F243" s="9" t="inlineStr">
        <is>
          <t>yes</t>
        </is>
      </c>
      <c r="G243" s="9" t="inlineStr"/>
      <c r="H243" s="9" t="inlineStr"/>
      <c r="I243" s="11">
        <f>HYPERLINK("#'tatatrusts.org'!A1","read policy")</f>
        <v/>
      </c>
    </row>
    <row r="244">
      <c r="A244" s="9" t="inlineStr">
        <is>
          <t>tatatrusts.org</t>
        </is>
      </c>
      <c r="B244" s="9" t="inlineStr">
        <is>
          <t>ngo</t>
        </is>
      </c>
      <c r="C244" s="9" t="n">
        <v>8</v>
      </c>
      <c r="D244" s="10" t="inlineStr">
        <is>
          <t>A retention period, or an 'erase when the purpose ends' commitment, is stated.</t>
        </is>
      </c>
      <c r="E244" s="9" t="inlineStr">
        <is>
          <t>Rule 8; Act S.8(7)-(8)</t>
        </is>
      </c>
      <c r="F244" s="9" t="inlineStr">
        <is>
          <t>yes</t>
        </is>
      </c>
      <c r="G244" s="9" t="inlineStr"/>
      <c r="H244" s="9" t="inlineStr"/>
      <c r="I244" s="11">
        <f>HYPERLINK("#'tatatrusts.org'!A1","read policy")</f>
        <v/>
      </c>
    </row>
    <row r="245">
      <c r="A245" s="9" t="inlineStr">
        <is>
          <t>tatatrusts.org</t>
        </is>
      </c>
      <c r="B245" s="9" t="inlineStr">
        <is>
          <t>ngo</t>
        </is>
      </c>
      <c r="C245" s="9" t="n">
        <v>9</v>
      </c>
      <c r="D245" s="10" t="inlineStr">
        <is>
          <t>Reasonable security safeguards (encryption, access control) are disclosed.</t>
        </is>
      </c>
      <c r="E245" s="9" t="inlineStr">
        <is>
          <t>Rule 6; Act S.8(5)</t>
        </is>
      </c>
      <c r="F245" s="9" t="inlineStr">
        <is>
          <t>yes</t>
        </is>
      </c>
      <c r="G245" s="9" t="inlineStr"/>
      <c r="H245" s="9" t="inlineStr"/>
      <c r="I245" s="11">
        <f>HYPERLINK("#'tatatrusts.org'!A1","read policy")</f>
        <v/>
      </c>
    </row>
    <row r="246">
      <c r="A246" s="9" t="inlineStr">
        <is>
          <t>tatatrusts.org</t>
        </is>
      </c>
      <c r="B246" s="9" t="inlineStr">
        <is>
          <t>ngo</t>
        </is>
      </c>
      <c r="C246" s="9" t="n">
        <v>10</v>
      </c>
      <c r="D246" s="10" t="inlineStr">
        <is>
          <t>A commitment to notify affected users and the Board of a personal-data breach.</t>
        </is>
      </c>
      <c r="E246" s="9" t="inlineStr">
        <is>
          <t>Rule 7; Act S.8(6)</t>
        </is>
      </c>
      <c r="F246" s="9" t="inlineStr">
        <is>
          <t>yes</t>
        </is>
      </c>
      <c r="G246" s="9" t="inlineStr"/>
      <c r="H246" s="9" t="inlineStr"/>
      <c r="I246" s="11">
        <f>HYPERLINK("#'tatatrusts.org'!A1","read policy")</f>
        <v/>
      </c>
    </row>
    <row r="247">
      <c r="A247" s="9" t="inlineStr">
        <is>
          <t>tatatrusts.org</t>
        </is>
      </c>
      <c r="B247" s="9" t="inlineStr">
        <is>
          <t>ngo</t>
        </is>
      </c>
      <c r="C247" s="9" t="n">
        <v>11</v>
      </c>
      <c r="D247" s="10" t="inlineStr">
        <is>
          <t>Withdrawal of consent is offered and is as easy as giving it, with a route stated.</t>
        </is>
      </c>
      <c r="E247" s="9" t="inlineStr">
        <is>
          <t>Rule 3; Act S.6(4)</t>
        </is>
      </c>
      <c r="F247" s="9" t="inlineStr">
        <is>
          <t>yes</t>
        </is>
      </c>
      <c r="G247" s="9" t="inlineStr"/>
      <c r="H247" s="9" t="inlineStr"/>
      <c r="I247" s="11">
        <f>HYPERLINK("#'tatatrusts.org'!A1","read policy")</f>
        <v/>
      </c>
    </row>
    <row r="248">
      <c r="A248" s="9" t="inlineStr">
        <is>
          <t>tatatrusts.org</t>
        </is>
      </c>
      <c r="B248" s="9" t="inlineStr">
        <is>
          <t>ngo</t>
        </is>
      </c>
      <c r="C248" s="9" t="n">
        <v>12</v>
      </c>
      <c r="D248" s="10" t="inlineStr">
        <is>
          <t>Consent is a clear affirmative action, unbundled, not pre-ticked or implied.</t>
        </is>
      </c>
      <c r="E248" s="9" t="inlineStr">
        <is>
          <t>Act S.6</t>
        </is>
      </c>
      <c r="F248" s="9" t="inlineStr">
        <is>
          <t>yes</t>
        </is>
      </c>
      <c r="G248" s="9" t="inlineStr"/>
      <c r="H248" s="9" t="inlineStr"/>
      <c r="I248" s="11">
        <f>HYPERLINK("#'tatatrusts.org'!A1","read policy")</f>
        <v/>
      </c>
    </row>
    <row r="249">
      <c r="A249" s="9" t="inlineStr">
        <is>
          <t>tatatrusts.org</t>
        </is>
      </c>
      <c r="B249" s="9" t="inlineStr">
        <is>
          <t>ngo</t>
        </is>
      </c>
      <c r="C249" s="9" t="n">
        <v>13</v>
      </c>
      <c r="D249" s="10" t="inlineStr">
        <is>
          <t>The Consent Manager route is acknowledged where relevant.</t>
        </is>
      </c>
      <c r="E249" s="9" t="inlineStr">
        <is>
          <t>Rule 4; Act S.6(7)</t>
        </is>
      </c>
      <c r="F249" s="9" t="inlineStr">
        <is>
          <t>yes</t>
        </is>
      </c>
      <c r="G249" s="9" t="inlineStr"/>
      <c r="H249" s="9" t="inlineStr"/>
      <c r="I249" s="11">
        <f>HYPERLINK("#'tatatrusts.org'!A1","read policy")</f>
        <v/>
      </c>
    </row>
    <row r="250">
      <c r="A250" s="9" t="inlineStr">
        <is>
          <t>tatatrusts.org</t>
        </is>
      </c>
      <c r="B250" s="9" t="inlineStr">
        <is>
          <t>ngo</t>
        </is>
      </c>
      <c r="C250" s="9" t="n">
        <v>14</v>
      </c>
      <c r="D250" s="10" t="inlineStr">
        <is>
          <t>Users can review consent given / records of consent are maintained.</t>
        </is>
      </c>
      <c r="E250" s="9" t="inlineStr">
        <is>
          <t>Act S.6(6)</t>
        </is>
      </c>
      <c r="F250" s="9" t="inlineStr">
        <is>
          <t>yes</t>
        </is>
      </c>
      <c r="G250" s="9" t="inlineStr"/>
      <c r="H250" s="9" t="inlineStr"/>
      <c r="I250" s="11">
        <f>HYPERLINK("#'tatatrusts.org'!A1","read policy")</f>
        <v/>
      </c>
    </row>
    <row r="251">
      <c r="A251" s="9" t="inlineStr">
        <is>
          <t>tatatrusts.org</t>
        </is>
      </c>
      <c r="B251" s="9" t="inlineStr">
        <is>
          <t>ngo</t>
        </is>
      </c>
      <c r="C251" s="9" t="n">
        <v>15</v>
      </c>
      <c r="D251" s="10" t="inlineStr">
        <is>
          <t>Verifiable parental consent for under-18s, and no tracking, behavioural monitoring or targeted ads to children.</t>
        </is>
      </c>
      <c r="E251" s="9" t="inlineStr">
        <is>
          <t>Act S.9</t>
        </is>
      </c>
      <c r="F251" s="9" t="inlineStr">
        <is>
          <t>yes</t>
        </is>
      </c>
      <c r="G251" s="9" t="inlineStr"/>
      <c r="H251" s="9" t="inlineStr"/>
      <c r="I251" s="11">
        <f>HYPERLINK("#'tatatrusts.org'!A1","read policy")</f>
        <v/>
      </c>
    </row>
    <row r="252">
      <c r="A252" s="9" t="inlineStr">
        <is>
          <t>tatatrusts.org</t>
        </is>
      </c>
      <c r="B252" s="9" t="inlineStr">
        <is>
          <t>ngo</t>
        </is>
      </c>
      <c r="C252" s="9" t="n">
        <v>16</v>
      </c>
      <c r="D252" s="10" t="inlineStr">
        <is>
          <t>The right to access a summary of personal data being processed is disclosed.</t>
        </is>
      </c>
      <c r="E252" s="9" t="inlineStr">
        <is>
          <t>Act S.11</t>
        </is>
      </c>
      <c r="F252" s="9" t="inlineStr">
        <is>
          <t>yes</t>
        </is>
      </c>
      <c r="G252" s="9" t="inlineStr"/>
      <c r="H252" s="9" t="inlineStr"/>
      <c r="I252" s="11">
        <f>HYPERLINK("#'tatatrusts.org'!A1","read policy")</f>
        <v/>
      </c>
    </row>
    <row r="253">
      <c r="A253" s="9" t="inlineStr">
        <is>
          <t>tatatrusts.org</t>
        </is>
      </c>
      <c r="B253" s="9" t="inlineStr">
        <is>
          <t>ngo</t>
        </is>
      </c>
      <c r="C253" s="9" t="n">
        <v>17</v>
      </c>
      <c r="D253" s="10" t="inlineStr">
        <is>
          <t>The right to correction of personal data is disclosed.</t>
        </is>
      </c>
      <c r="E253" s="9" t="inlineStr">
        <is>
          <t>Act S.12</t>
        </is>
      </c>
      <c r="F253" s="9" t="inlineStr">
        <is>
          <t>yes</t>
        </is>
      </c>
      <c r="G253" s="9" t="inlineStr"/>
      <c r="H253" s="9" t="inlineStr"/>
      <c r="I253" s="11">
        <f>HYPERLINK("#'tatatrusts.org'!A1","read policy")</f>
        <v/>
      </c>
    </row>
    <row r="254">
      <c r="A254" s="9" t="inlineStr">
        <is>
          <t>tatatrusts.org</t>
        </is>
      </c>
      <c r="B254" s="9" t="inlineStr">
        <is>
          <t>ngo</t>
        </is>
      </c>
      <c r="C254" s="9" t="n">
        <v>18</v>
      </c>
      <c r="D254" s="10" t="inlineStr">
        <is>
          <t>The right to erasure of personal data is disclosed.</t>
        </is>
      </c>
      <c r="E254" s="9" t="inlineStr">
        <is>
          <t>Act S.12</t>
        </is>
      </c>
      <c r="F254" s="9" t="inlineStr">
        <is>
          <t>yes</t>
        </is>
      </c>
      <c r="G254" s="9" t="inlineStr"/>
      <c r="H254" s="9" t="inlineStr"/>
      <c r="I254" s="11">
        <f>HYPERLINK("#'tatatrusts.org'!A1","read policy")</f>
        <v/>
      </c>
    </row>
    <row r="255">
      <c r="A255" s="9" t="inlineStr">
        <is>
          <t>tatatrusts.org</t>
        </is>
      </c>
      <c r="B255" s="9" t="inlineStr">
        <is>
          <t>ngo</t>
        </is>
      </c>
      <c r="C255" s="9" t="n">
        <v>19</v>
      </c>
      <c r="D255" s="10" t="inlineStr">
        <is>
          <t>A readily available grievance-redressal route is disclosed.</t>
        </is>
      </c>
      <c r="E255" s="9" t="inlineStr">
        <is>
          <t>Act S.13</t>
        </is>
      </c>
      <c r="F255" s="9" t="inlineStr">
        <is>
          <t>yes</t>
        </is>
      </c>
      <c r="G255" s="9" t="inlineStr"/>
      <c r="H255" s="9" t="inlineStr"/>
      <c r="I255" s="11">
        <f>HYPERLINK("#'tatatrusts.org'!A1","read policy")</f>
        <v/>
      </c>
    </row>
    <row r="256">
      <c r="A256" s="9" t="inlineStr">
        <is>
          <t>tatatrusts.org</t>
        </is>
      </c>
      <c r="B256" s="9" t="inlineStr">
        <is>
          <t>ngo</t>
        </is>
      </c>
      <c r="C256" s="9" t="n">
        <v>20</v>
      </c>
      <c r="D256" s="10" t="inlineStr">
        <is>
          <t>The right to nominate is disclosed.</t>
        </is>
      </c>
      <c r="E256" s="9" t="inlineStr">
        <is>
          <t>Act S.14</t>
        </is>
      </c>
      <c r="F256" s="9" t="inlineStr">
        <is>
          <t>yes</t>
        </is>
      </c>
      <c r="G256" s="9" t="inlineStr"/>
      <c r="H256" s="9" t="inlineStr"/>
      <c r="I256" s="11">
        <f>HYPERLINK("#'tatatrusts.org'!A1","read policy")</f>
        <v/>
      </c>
    </row>
    <row r="257">
      <c r="A257" s="9" t="inlineStr">
        <is>
          <t>tatatrusts.org</t>
        </is>
      </c>
      <c r="B257" s="9" t="inlineStr">
        <is>
          <t>ngo</t>
        </is>
      </c>
      <c r="C257" s="9" t="n">
        <v>21</v>
      </c>
      <c r="D257" s="10" t="inlineStr">
        <is>
          <t>A reachable grievance officer or business contact for data queries is published.</t>
        </is>
      </c>
      <c r="E257" s="9" t="inlineStr">
        <is>
          <t>Act S.8(9)-(10), S.13</t>
        </is>
      </c>
      <c r="F257" s="9" t="inlineStr">
        <is>
          <t>yes</t>
        </is>
      </c>
      <c r="G257" s="9" t="inlineStr"/>
      <c r="H257" s="9" t="inlineStr"/>
      <c r="I257" s="11">
        <f>HYPERLINK("#'tatatrusts.org'!A1","read policy")</f>
        <v/>
      </c>
    </row>
    <row r="258">
      <c r="A258" s="9" t="inlineStr">
        <is>
          <t>tatatrusts.org</t>
        </is>
      </c>
      <c r="B258" s="9" t="inlineStr">
        <is>
          <t>ngo</t>
        </is>
      </c>
      <c r="C258" s="9" t="n">
        <v>22</v>
      </c>
      <c r="D258" s="10" t="inlineStr">
        <is>
          <t>A Data Protection Officer is appointed and published (Significant Data Fiduciary).</t>
        </is>
      </c>
      <c r="E258" s="9" t="inlineStr">
        <is>
          <t>Rule 13; Act S.10</t>
        </is>
      </c>
      <c r="F258" s="9" t="inlineStr">
        <is>
          <t>yes</t>
        </is>
      </c>
      <c r="G258" s="9" t="inlineStr"/>
      <c r="H258" s="9" t="inlineStr"/>
      <c r="I258" s="11">
        <f>HYPERLINK("#'tatatrusts.org'!A1","read policy")</f>
        <v/>
      </c>
    </row>
    <row r="259">
      <c r="A259" s="9" t="inlineStr">
        <is>
          <t>tatatrusts.org</t>
        </is>
      </c>
      <c r="B259" s="9" t="inlineStr">
        <is>
          <t>ngo</t>
        </is>
      </c>
      <c r="C259" s="9" t="n">
        <v>23</v>
      </c>
      <c r="D259" s="10" t="inlineStr">
        <is>
          <t>Processors engaged only under a valid contract.</t>
        </is>
      </c>
      <c r="E259" s="9" t="inlineStr">
        <is>
          <t>Act S.8(2)</t>
        </is>
      </c>
      <c r="F259" s="9" t="inlineStr">
        <is>
          <t>yes</t>
        </is>
      </c>
      <c r="G259" s="9" t="inlineStr"/>
      <c r="H259" s="9" t="inlineStr"/>
      <c r="I259" s="11">
        <f>HYPERLINK("#'tatatrusts.org'!A1","read policy")</f>
        <v/>
      </c>
    </row>
    <row r="260">
      <c r="A260" s="9" t="inlineStr">
        <is>
          <t>tatatrusts.org</t>
        </is>
      </c>
      <c r="B260" s="9" t="inlineStr">
        <is>
          <t>ngo</t>
        </is>
      </c>
      <c r="C260" s="9" t="n">
        <v>24</v>
      </c>
      <c r="D260" s="10" t="inlineStr">
        <is>
          <t>Third parties / recipients of data sharing are disclosed.</t>
        </is>
      </c>
      <c r="E260" s="9" t="inlineStr">
        <is>
          <t>Act S.8(2)</t>
        </is>
      </c>
      <c r="F260" s="9" t="inlineStr">
        <is>
          <t>yes</t>
        </is>
      </c>
      <c r="G260" s="9" t="inlineStr"/>
      <c r="H260" s="9" t="inlineStr"/>
      <c r="I260" s="11">
        <f>HYPERLINK("#'tatatrusts.org'!A1","read policy")</f>
        <v/>
      </c>
    </row>
    <row r="261">
      <c r="A261" s="9" t="inlineStr">
        <is>
          <t>tatatrusts.org</t>
        </is>
      </c>
      <c r="B261" s="9" t="inlineStr">
        <is>
          <t>ngo</t>
        </is>
      </c>
      <c r="C261" s="9" t="n">
        <v>25</v>
      </c>
      <c r="D261" s="10" t="inlineStr">
        <is>
          <t>Sub-processor oversight is addressed.</t>
        </is>
      </c>
      <c r="E261" s="9" t="inlineStr">
        <is>
          <t>Rule 6; Act S.8(2)</t>
        </is>
      </c>
      <c r="F261" s="9" t="inlineStr">
        <is>
          <t>yes</t>
        </is>
      </c>
      <c r="G261" s="9" t="inlineStr"/>
      <c r="H261" s="9" t="inlineStr"/>
      <c r="I261" s="11">
        <f>HYPERLINK("#'tatatrusts.org'!A1","read policy")</f>
        <v/>
      </c>
    </row>
    <row r="262">
      <c r="A262" s="9" t="inlineStr">
        <is>
          <t>tatatrusts.org</t>
        </is>
      </c>
      <c r="B262" s="9" t="inlineStr">
        <is>
          <t>ngo</t>
        </is>
      </c>
      <c r="C262" s="9" t="n">
        <v>26</v>
      </c>
      <c r="D262" s="10" t="inlineStr">
        <is>
          <t>Security obligations flow down to processors.</t>
        </is>
      </c>
      <c r="E262" s="9" t="inlineStr">
        <is>
          <t>Rule 6; Act S.8(2)</t>
        </is>
      </c>
      <c r="F262" s="9" t="inlineStr">
        <is>
          <t>yes</t>
        </is>
      </c>
      <c r="G262" s="9" t="inlineStr"/>
      <c r="H262" s="9" t="inlineStr"/>
      <c r="I262" s="11">
        <f>HYPERLINK("#'tatatrusts.org'!A1","read policy")</f>
        <v/>
      </c>
    </row>
    <row r="263">
      <c r="A263" s="9" t="inlineStr">
        <is>
          <t>tatatrusts.org</t>
        </is>
      </c>
      <c r="B263" s="9" t="inlineStr">
        <is>
          <t>ngo</t>
        </is>
      </c>
      <c r="C263" s="9" t="n">
        <v>27</v>
      </c>
      <c r="D263" s="10" t="inlineStr">
        <is>
          <t>Transfers of personal data outside India are disclosed.</t>
        </is>
      </c>
      <c r="E263" s="9" t="inlineStr">
        <is>
          <t>Act S.16</t>
        </is>
      </c>
      <c r="F263" s="9" t="inlineStr">
        <is>
          <t>yes</t>
        </is>
      </c>
      <c r="G263" s="9" t="inlineStr"/>
      <c r="H263" s="9" t="inlineStr"/>
      <c r="I263" s="11">
        <f>HYPERLINK("#'tatatrusts.org'!A1","read policy")</f>
        <v/>
      </c>
    </row>
    <row r="264">
      <c r="A264" s="9" t="inlineStr">
        <is>
          <t>tatatrusts.org</t>
        </is>
      </c>
      <c r="B264" s="9" t="inlineStr">
        <is>
          <t>ngo</t>
        </is>
      </c>
      <c r="C264" s="9" t="n">
        <v>28</v>
      </c>
      <c r="D264" s="10" t="inlineStr">
        <is>
          <t>Compliance with any restricted-country notification is addressed.</t>
        </is>
      </c>
      <c r="E264" s="9" t="inlineStr">
        <is>
          <t>Act S.16</t>
        </is>
      </c>
      <c r="F264" s="9" t="inlineStr">
        <is>
          <t>yes</t>
        </is>
      </c>
      <c r="G264" s="9" t="inlineStr"/>
      <c r="H264" s="9" t="inlineStr"/>
      <c r="I264" s="11">
        <f>HYPERLINK("#'tatatrusts.org'!A1","read policy")</f>
        <v/>
      </c>
    </row>
    <row r="265">
      <c r="A265" s="9" t="inlineStr">
        <is>
          <t>tatatrusts.org</t>
        </is>
      </c>
      <c r="B265" s="9" t="inlineStr">
        <is>
          <t>ngo</t>
        </is>
      </c>
      <c r="C265" s="9" t="n">
        <v>29</v>
      </c>
      <c r="D265" s="10" t="inlineStr">
        <is>
          <t>Data storage location is disclosed.</t>
        </is>
      </c>
      <c r="E265" s="9" t="inlineStr">
        <is>
          <t>Act S.16</t>
        </is>
      </c>
      <c r="F265" s="9" t="inlineStr">
        <is>
          <t>yes</t>
        </is>
      </c>
      <c r="G265" s="9" t="inlineStr"/>
      <c r="H265" s="9" t="inlineStr"/>
      <c r="I265" s="11">
        <f>HYPERLINK("#'tatatrusts.org'!A1","read policy")</f>
        <v/>
      </c>
    </row>
    <row r="266">
      <c r="A266" s="9" t="inlineStr">
        <is>
          <t>tatatrusts.org</t>
        </is>
      </c>
      <c r="B266" s="9" t="inlineStr">
        <is>
          <t>ngo</t>
        </is>
      </c>
      <c r="C266" s="9" t="n">
        <v>30</v>
      </c>
      <c r="D266" s="10" t="inlineStr">
        <is>
          <t>A Data Protection Impact Assessment is undertaken (Significant Data Fiduciary).</t>
        </is>
      </c>
      <c r="E266" s="9" t="inlineStr">
        <is>
          <t>Rule 13; Act S.10</t>
        </is>
      </c>
      <c r="F266" s="9" t="inlineStr">
        <is>
          <t>yes</t>
        </is>
      </c>
      <c r="G266" s="9" t="inlineStr"/>
      <c r="H266" s="9" t="inlineStr"/>
      <c r="I266" s="11">
        <f>HYPERLINK("#'tatatrusts.org'!A1","read policy")</f>
        <v/>
      </c>
    </row>
    <row r="267">
      <c r="A267" s="9" t="inlineStr">
        <is>
          <t>tatatrusts.org</t>
        </is>
      </c>
      <c r="B267" s="9" t="inlineStr">
        <is>
          <t>ngo</t>
        </is>
      </c>
      <c r="C267" s="9" t="n">
        <v>31</v>
      </c>
      <c r="D267" s="10" t="inlineStr">
        <is>
          <t>Privacy by design and periodic audit are addressed.</t>
        </is>
      </c>
      <c r="E267" s="9" t="inlineStr">
        <is>
          <t>Rule 13; Act S.8</t>
        </is>
      </c>
      <c r="F267" s="9" t="inlineStr">
        <is>
          <t>yes</t>
        </is>
      </c>
      <c r="G267" s="9" t="inlineStr"/>
      <c r="H267" s="9" t="inlineStr"/>
      <c r="I267" s="11">
        <f>HYPERLINK("#'tatatrusts.org'!A1","read policy")</f>
        <v/>
      </c>
    </row>
    <row r="268">
      <c r="A268" s="9" t="inlineStr">
        <is>
          <t>tatatrusts.org</t>
        </is>
      </c>
      <c r="B268" s="9" t="inlineStr">
        <is>
          <t>ngo</t>
        </is>
      </c>
      <c r="C268" s="9" t="n">
        <v>32</v>
      </c>
      <c r="D268" s="10" t="inlineStr">
        <is>
          <t>Data-minimisation measures by design are addressed.</t>
        </is>
      </c>
      <c r="E268" s="9" t="inlineStr">
        <is>
          <t>Act S.8</t>
        </is>
      </c>
      <c r="F268" s="9" t="inlineStr">
        <is>
          <t>yes</t>
        </is>
      </c>
      <c r="G268" s="9" t="inlineStr"/>
      <c r="H268" s="9" t="inlineStr"/>
      <c r="I268" s="11">
        <f>HYPERLINK("#'tatatrusts.org'!A1","read policy")</f>
        <v/>
      </c>
    </row>
    <row r="269">
      <c r="A269" s="9" t="inlineStr">
        <is>
          <t>tatatrusts.org</t>
        </is>
      </c>
      <c r="B269" s="9" t="inlineStr">
        <is>
          <t>ngo</t>
        </is>
      </c>
      <c r="C269" s="9" t="n">
        <v>33</v>
      </c>
      <c r="D269" s="10" t="inlineStr">
        <is>
          <t>A published privacy policy exists and is reachable.</t>
        </is>
      </c>
      <c r="E269" s="9" t="inlineStr">
        <is>
          <t>Rule 3; Act S.5</t>
        </is>
      </c>
      <c r="F269" s="9" t="inlineStr">
        <is>
          <t>yes</t>
        </is>
      </c>
      <c r="G269" s="9" t="inlineStr"/>
      <c r="H269" s="9" t="inlineStr"/>
      <c r="I269" s="11">
        <f>HYPERLINK("#'tatatrusts.org'!A1","read policy")</f>
        <v/>
      </c>
    </row>
    <row r="270">
      <c r="A270" s="9" t="inlineStr">
        <is>
          <t>tatatrusts.org</t>
        </is>
      </c>
      <c r="B270" s="9" t="inlineStr">
        <is>
          <t>ngo</t>
        </is>
      </c>
      <c r="C270" s="9" t="n">
        <v>34</v>
      </c>
      <c r="D270" s="10" t="inlineStr">
        <is>
          <t>A cookie policy / tracker disclosure is published.</t>
        </is>
      </c>
      <c r="E270" s="9" t="inlineStr">
        <is>
          <t>Rule 3; Act S.5</t>
        </is>
      </c>
      <c r="F270" s="9" t="inlineStr">
        <is>
          <t>yes</t>
        </is>
      </c>
      <c r="G270" s="9" t="inlineStr"/>
      <c r="H270" s="9" t="inlineStr"/>
      <c r="I270" s="11">
        <f>HYPERLINK("#'tatatrusts.org'!A1","read policy")</f>
        <v/>
      </c>
    </row>
    <row r="271">
      <c r="A271" s="9" t="inlineStr">
        <is>
          <t>tatatrusts.org</t>
        </is>
      </c>
      <c r="B271" s="9" t="inlineStr">
        <is>
          <t>ngo</t>
        </is>
      </c>
      <c r="C271" s="9" t="n">
        <v>35</v>
      </c>
      <c r="D271" s="10" t="inlineStr">
        <is>
          <t>Terms of service are published.</t>
        </is>
      </c>
      <c r="E271" s="9" t="inlineStr">
        <is>
          <t>Act S.5</t>
        </is>
      </c>
      <c r="F271" s="9" t="inlineStr">
        <is>
          <t>yes</t>
        </is>
      </c>
      <c r="G271" s="9" t="inlineStr"/>
      <c r="H271" s="9" t="inlineStr"/>
      <c r="I271" s="11">
        <f>HYPERLINK("#'tatatrusts.org'!A1","read policy")</f>
        <v/>
      </c>
    </row>
    <row r="272">
      <c r="A272" s="9" t="inlineStr">
        <is>
          <t>tatatrusts.org</t>
        </is>
      </c>
      <c r="B272" s="9" t="inlineStr">
        <is>
          <t>ngo</t>
        </is>
      </c>
      <c r="C272" s="9" t="n">
        <v>36</v>
      </c>
      <c r="D272" s="10" t="inlineStr">
        <is>
          <t>Notice is available in an accessible form (and Indian languages where relevant).</t>
        </is>
      </c>
      <c r="E272" s="9" t="inlineStr">
        <is>
          <t>Rule 3; Act S.5</t>
        </is>
      </c>
      <c r="F272" s="9" t="inlineStr">
        <is>
          <t>yes</t>
        </is>
      </c>
      <c r="G272" s="9" t="inlineStr"/>
      <c r="H272" s="9" t="inlineStr"/>
      <c r="I272" s="11">
        <f>HYPERLINK("#'tatatrusts.org'!A1","read policy")</f>
        <v/>
      </c>
    </row>
    <row r="273">
      <c r="A273" s="9" t="inlineStr">
        <is>
          <t>tatatrusts.org</t>
        </is>
      </c>
      <c r="B273" s="9" t="inlineStr">
        <is>
          <t>ngo</t>
        </is>
      </c>
      <c r="C273" s="9" t="n">
        <v>37</v>
      </c>
      <c r="D273" s="10" t="inlineStr">
        <is>
          <t>Registered office / entity contact details are published.</t>
        </is>
      </c>
      <c r="E273" s="9" t="inlineStr">
        <is>
          <t>Act S.8(9)</t>
        </is>
      </c>
      <c r="F273" s="9" t="inlineStr">
        <is>
          <t>yes</t>
        </is>
      </c>
      <c r="G273" s="9" t="inlineStr"/>
      <c r="H273" s="9" t="inlineStr"/>
      <c r="I273" s="11">
        <f>HYPERLINK("#'tatatrusts.org'!A1","read policy")</f>
        <v/>
      </c>
    </row>
    <row r="274">
      <c r="A274" s="9" t="inlineStr">
        <is>
          <t>tatatrusts.org</t>
        </is>
      </c>
      <c r="B274" s="9" t="inlineStr">
        <is>
          <t>ngo</t>
        </is>
      </c>
      <c r="C274" s="9" t="n">
        <v>38</v>
      </c>
      <c r="D274" s="10" t="inlineStr">
        <is>
          <t>The site serves over HTTPS (encryption in transit).</t>
        </is>
      </c>
      <c r="E274" s="9" t="inlineStr">
        <is>
          <t>Rule 6; Act S.8(5)</t>
        </is>
      </c>
      <c r="F274" s="9" t="inlineStr">
        <is>
          <t>yes</t>
        </is>
      </c>
      <c r="G274" s="9" t="inlineStr"/>
      <c r="H274" s="9" t="inlineStr"/>
      <c r="I274" s="11">
        <f>HYPERLINK("#'tatatrusts.org'!A1","read policy")</f>
        <v/>
      </c>
    </row>
    <row r="275">
      <c r="A275" s="9" t="inlineStr">
        <is>
          <t>tatatrusts.org</t>
        </is>
      </c>
      <c r="B275" s="9" t="inlineStr">
        <is>
          <t>ngo</t>
        </is>
      </c>
      <c r="C275" s="9" t="n">
        <v>39</v>
      </c>
      <c r="D275" s="10" t="inlineStr">
        <is>
          <t>Encryption at rest is disclosed.</t>
        </is>
      </c>
      <c r="E275" s="9" t="inlineStr">
        <is>
          <t>Rule 6; Act S.8(5)</t>
        </is>
      </c>
      <c r="F275" s="9" t="inlineStr">
        <is>
          <t>yes</t>
        </is>
      </c>
      <c r="G275" s="9" t="inlineStr"/>
      <c r="H275" s="9" t="inlineStr"/>
      <c r="I275" s="11">
        <f>HYPERLINK("#'tatatrusts.org'!A1","read policy")</f>
        <v/>
      </c>
    </row>
    <row r="276">
      <c r="A276" s="9" t="inlineStr">
        <is>
          <t>tatatrusts.org</t>
        </is>
      </c>
      <c r="B276" s="9" t="inlineStr">
        <is>
          <t>ngo</t>
        </is>
      </c>
      <c r="C276" s="9" t="n">
        <v>40</v>
      </c>
      <c r="D276" s="10" t="inlineStr">
        <is>
          <t>Access controls and logging are disclosed.</t>
        </is>
      </c>
      <c r="E276" s="9" t="inlineStr">
        <is>
          <t>Rule 6; Act S.8(5)</t>
        </is>
      </c>
      <c r="F276" s="9" t="inlineStr">
        <is>
          <t>yes</t>
        </is>
      </c>
      <c r="G276" s="9" t="inlineStr"/>
      <c r="H276" s="9" t="inlineStr"/>
      <c r="I276" s="11">
        <f>HYPERLINK("#'tatatrusts.org'!A1","read policy")</f>
        <v/>
      </c>
    </row>
    <row r="277">
      <c r="A277" s="9" t="inlineStr">
        <is>
          <t>tatatrusts.org</t>
        </is>
      </c>
      <c r="B277" s="9" t="inlineStr">
        <is>
          <t>ngo</t>
        </is>
      </c>
      <c r="C277" s="9" t="n">
        <v>41</v>
      </c>
      <c r="D277" s="10" t="inlineStr">
        <is>
          <t>An internal data-protection policy / governance is in place.</t>
        </is>
      </c>
      <c r="E277" s="9" t="inlineStr">
        <is>
          <t>Act S.8</t>
        </is>
      </c>
      <c r="F277" s="9" t="inlineStr">
        <is>
          <t>yes</t>
        </is>
      </c>
      <c r="G277" s="9" t="inlineStr"/>
      <c r="H277" s="9" t="inlineStr"/>
      <c r="I277" s="11">
        <f>HYPERLINK("#'tatatrusts.org'!A1","read policy")</f>
        <v/>
      </c>
    </row>
    <row r="278">
      <c r="A278" s="9" t="inlineStr">
        <is>
          <t>tatatrusts.org</t>
        </is>
      </c>
      <c r="B278" s="9" t="inlineStr">
        <is>
          <t>ngo</t>
        </is>
      </c>
      <c r="C278" s="9" t="n">
        <v>42</v>
      </c>
      <c r="D278" s="10" t="inlineStr">
        <is>
          <t>Staff are trained on data protection.</t>
        </is>
      </c>
      <c r="E278" s="9" t="inlineStr">
        <is>
          <t>Act Rule 13</t>
        </is>
      </c>
      <c r="F278" s="9" t="inlineStr">
        <is>
          <t>yes</t>
        </is>
      </c>
      <c r="G278" s="9" t="inlineStr"/>
      <c r="H278" s="9" t="inlineStr"/>
      <c r="I278" s="11">
        <f>HYPERLINK("#'tatatrusts.org'!A1","read policy")</f>
        <v/>
      </c>
    </row>
    <row r="279">
      <c r="A279" s="9" t="inlineStr">
        <is>
          <t>tatatrusts.org</t>
        </is>
      </c>
      <c r="B279" s="9" t="inlineStr">
        <is>
          <t>ngo</t>
        </is>
      </c>
      <c r="C279" s="9" t="n">
        <v>43</v>
      </c>
      <c r="D279" s="10" t="inlineStr">
        <is>
          <t>Records of processing activities are maintained.</t>
        </is>
      </c>
      <c r="E279" s="9" t="inlineStr">
        <is>
          <t>Act S.8</t>
        </is>
      </c>
      <c r="F279" s="9" t="inlineStr">
        <is>
          <t>yes</t>
        </is>
      </c>
      <c r="G279" s="9" t="inlineStr"/>
      <c r="H279" s="9" t="inlineStr"/>
      <c r="I279" s="11">
        <f>HYPERLINK("#'tatatrusts.org'!A1","read policy")</f>
        <v/>
      </c>
    </row>
    <row r="280">
      <c r="A280" s="9" t="inlineStr">
        <is>
          <t>tatatrusts.org</t>
        </is>
      </c>
      <c r="B280" s="9" t="inlineStr">
        <is>
          <t>ngo</t>
        </is>
      </c>
      <c r="C280" s="9" t="n">
        <v>44</v>
      </c>
      <c r="D280" s="10" t="inlineStr">
        <is>
          <t>An incident-response plan exists.</t>
        </is>
      </c>
      <c r="E280" s="9" t="inlineStr">
        <is>
          <t>Rule 7; Act S.8(6)</t>
        </is>
      </c>
      <c r="F280" s="9" t="inlineStr">
        <is>
          <t>yes</t>
        </is>
      </c>
      <c r="G280" s="9" t="inlineStr"/>
      <c r="H280" s="9" t="inlineStr"/>
      <c r="I280" s="11">
        <f>HYPERLINK("#'tatatrusts.org'!A1","read policy")</f>
        <v/>
      </c>
    </row>
    <row r="281">
      <c r="A281" s="9" t="inlineStr">
        <is>
          <t>tatatrusts.org</t>
        </is>
      </c>
      <c r="B281" s="9" t="inlineStr">
        <is>
          <t>ngo</t>
        </is>
      </c>
      <c r="C281" s="9" t="n">
        <v>45</v>
      </c>
      <c r="D281" s="10" t="inlineStr">
        <is>
          <t>Vendor / third-party risk management is addressed.</t>
        </is>
      </c>
      <c r="E281" s="9" t="inlineStr">
        <is>
          <t>Act Rule 6</t>
        </is>
      </c>
      <c r="F281" s="9" t="inlineStr">
        <is>
          <t>yes</t>
        </is>
      </c>
      <c r="G281" s="9" t="inlineStr"/>
      <c r="H281" s="9" t="inlineStr"/>
      <c r="I281" s="11">
        <f>HYPERLINK("#'tatatrusts.org'!A1","read policy")</f>
        <v/>
      </c>
    </row>
    <row r="282">
      <c r="A282" s="9" t="inlineStr">
        <is>
          <t>tatatrusts.org</t>
        </is>
      </c>
      <c r="B282" s="9" t="inlineStr">
        <is>
          <t>ngo</t>
        </is>
      </c>
      <c r="C282" s="9" t="n">
        <v>46</v>
      </c>
      <c r="D282" s="10" t="inlineStr">
        <is>
          <t>Significant-Data-Fiduciary obligations / Board reporting are addressed where applicable.</t>
        </is>
      </c>
      <c r="E282" s="9" t="inlineStr">
        <is>
          <t>Rule 13; Act S.10</t>
        </is>
      </c>
      <c r="F282" s="9" t="inlineStr">
        <is>
          <t>yes</t>
        </is>
      </c>
      <c r="G282" s="9" t="inlineStr"/>
      <c r="H282" s="9" t="inlineStr"/>
      <c r="I282" s="11">
        <f>HYPERLINK("#'tatatrusts.org'!A1","read policy")</f>
        <v/>
      </c>
    </row>
    <row r="283">
      <c r="A283" s="9" t="inlineStr">
        <is>
          <t>tatatrusts.org</t>
        </is>
      </c>
      <c r="B283" s="9" t="inlineStr">
        <is>
          <t>ngo</t>
        </is>
      </c>
      <c r="C283" s="9" t="n">
        <v>47</v>
      </c>
      <c r="D283" s="10" t="inlineStr">
        <is>
          <t>A periodic compliance review / audit is performed.</t>
        </is>
      </c>
      <c r="E283" s="9" t="inlineStr">
        <is>
          <t>Act Rule 13</t>
        </is>
      </c>
      <c r="F283" s="9" t="inlineStr">
        <is>
          <t>yes</t>
        </is>
      </c>
      <c r="G283" s="9" t="inlineStr"/>
      <c r="H283" s="9" t="inlineStr"/>
      <c r="I283" s="11">
        <f>HYPERLINK("#'tatatrusts.org'!A1","read policy")</f>
        <v/>
      </c>
    </row>
    <row r="284">
      <c r="A284" s="6" t="inlineStr">
        <is>
          <t>networkintelligence.ai</t>
        </is>
      </c>
      <c r="B284" s="6" t="inlineStr">
        <is>
          <t>sme</t>
        </is>
      </c>
      <c r="C284" s="6" t="n">
        <v>1</v>
      </c>
      <c r="D284" s="7" t="inlineStr">
        <is>
          <t>The notice itemises the categories of personal data collected, in plain language.</t>
        </is>
      </c>
      <c r="E284" s="6" t="inlineStr">
        <is>
          <t>Rule 3; Act S.5</t>
        </is>
      </c>
      <c r="F284" s="6" t="inlineStr">
        <is>
          <t>yes</t>
        </is>
      </c>
      <c r="G284" s="6" t="inlineStr"/>
      <c r="H284" s="6" t="inlineStr"/>
      <c r="I284" s="8">
        <f>HYPERLINK("#'networkintelligence.ai'!A1","read policy")</f>
        <v/>
      </c>
    </row>
    <row r="285">
      <c r="A285" s="6" t="inlineStr">
        <is>
          <t>networkintelligence.ai</t>
        </is>
      </c>
      <c r="B285" s="6" t="inlineStr">
        <is>
          <t>sme</t>
        </is>
      </c>
      <c r="C285" s="6" t="n">
        <v>2</v>
      </c>
      <c r="D285" s="7" t="inlineStr">
        <is>
          <t>A specific purpose is stated for the data collected; generic 'business purposes' is only Partial.</t>
        </is>
      </c>
      <c r="E285" s="6" t="inlineStr">
        <is>
          <t>Rule 3; Act S.6</t>
        </is>
      </c>
      <c r="F285" s="6" t="inlineStr">
        <is>
          <t>yes</t>
        </is>
      </c>
      <c r="G285" s="6" t="inlineStr"/>
      <c r="H285" s="6" t="inlineStr"/>
      <c r="I285" s="8">
        <f>HYPERLINK("#'networkintelligence.ai'!A1","read policy")</f>
        <v/>
      </c>
    </row>
    <row r="286">
      <c r="A286" s="6" t="inlineStr">
        <is>
          <t>networkintelligence.ai</t>
        </is>
      </c>
      <c r="B286" s="6" t="inlineStr">
        <is>
          <t>sme</t>
        </is>
      </c>
      <c r="C286" s="6" t="n">
        <v>3</v>
      </c>
      <c r="D286" s="7" t="inlineStr">
        <is>
          <t>The notice is clear, plain-language and understandable on its own.</t>
        </is>
      </c>
      <c r="E286" s="6" t="inlineStr">
        <is>
          <t>Rule 3; Act S.5</t>
        </is>
      </c>
      <c r="F286" s="6" t="inlineStr">
        <is>
          <t>yes</t>
        </is>
      </c>
      <c r="G286" s="6" t="inlineStr"/>
      <c r="H286" s="6" t="inlineStr"/>
      <c r="I286" s="8">
        <f>HYPERLINK("#'networkintelligence.ai'!A1","read policy")</f>
        <v/>
      </c>
    </row>
    <row r="287">
      <c r="A287" s="6" t="inlineStr">
        <is>
          <t>networkintelligence.ai</t>
        </is>
      </c>
      <c r="B287" s="6" t="inlineStr">
        <is>
          <t>sme</t>
        </is>
      </c>
      <c r="C287" s="6" t="n">
        <v>4</v>
      </c>
      <c r="D287" s="7" t="inlineStr">
        <is>
          <t>Processing is on a stated lawful basis (consent or a legitimate use).</t>
        </is>
      </c>
      <c r="E287" s="6" t="inlineStr">
        <is>
          <t>Act S.4</t>
        </is>
      </c>
      <c r="F287" s="6" t="inlineStr">
        <is>
          <t>yes</t>
        </is>
      </c>
      <c r="G287" s="6" t="inlineStr"/>
      <c r="H287" s="6" t="inlineStr"/>
      <c r="I287" s="8">
        <f>HYPERLINK("#'networkintelligence.ai'!A1","read policy")</f>
        <v/>
      </c>
    </row>
    <row r="288">
      <c r="A288" s="6" t="inlineStr">
        <is>
          <t>networkintelligence.ai</t>
        </is>
      </c>
      <c r="B288" s="6" t="inlineStr">
        <is>
          <t>sme</t>
        </is>
      </c>
      <c r="C288" s="6" t="n">
        <v>5</v>
      </c>
      <c r="D288" s="7" t="inlineStr">
        <is>
          <t>Collection is limited to data necessary for the specified purpose (purpose/data limitation).</t>
        </is>
      </c>
      <c r="E288" s="6" t="inlineStr">
        <is>
          <t>Act S.6(1)</t>
        </is>
      </c>
      <c r="F288" s="6" t="inlineStr">
        <is>
          <t>yes</t>
        </is>
      </c>
      <c r="G288" s="6" t="inlineStr"/>
      <c r="H288" s="6" t="inlineStr"/>
      <c r="I288" s="8">
        <f>HYPERLINK("#'networkintelligence.ai'!A1","read policy")</f>
        <v/>
      </c>
    </row>
    <row r="289">
      <c r="A289" s="6" t="inlineStr">
        <is>
          <t>networkintelligence.ai</t>
        </is>
      </c>
      <c r="B289" s="6" t="inlineStr">
        <is>
          <t>sme</t>
        </is>
      </c>
      <c r="C289" s="6" t="n">
        <v>6</v>
      </c>
      <c r="D289" s="7" t="inlineStr">
        <is>
          <t>If legitimate uses are relied upon, they fall within the Act's Section 7 categories.</t>
        </is>
      </c>
      <c r="E289" s="6" t="inlineStr">
        <is>
          <t>Act S.7</t>
        </is>
      </c>
      <c r="F289" s="6" t="inlineStr">
        <is>
          <t>yes</t>
        </is>
      </c>
      <c r="G289" s="6" t="inlineStr"/>
      <c r="H289" s="6" t="inlineStr"/>
      <c r="I289" s="8">
        <f>HYPERLINK("#'networkintelligence.ai'!A1","read policy")</f>
        <v/>
      </c>
    </row>
    <row r="290">
      <c r="A290" s="6" t="inlineStr">
        <is>
          <t>networkintelligence.ai</t>
        </is>
      </c>
      <c r="B290" s="6" t="inlineStr">
        <is>
          <t>sme</t>
        </is>
      </c>
      <c r="C290" s="6" t="n">
        <v>7</v>
      </c>
      <c r="D290" s="7" t="inlineStr">
        <is>
          <t>A commitment to keep personal data accurate, complete and up to date.</t>
        </is>
      </c>
      <c r="E290" s="6" t="inlineStr">
        <is>
          <t>Act S.8(3)</t>
        </is>
      </c>
      <c r="F290" s="6" t="inlineStr">
        <is>
          <t>yes</t>
        </is>
      </c>
      <c r="G290" s="6" t="inlineStr"/>
      <c r="H290" s="6" t="inlineStr"/>
      <c r="I290" s="8">
        <f>HYPERLINK("#'networkintelligence.ai'!A1","read policy")</f>
        <v/>
      </c>
    </row>
    <row r="291">
      <c r="A291" s="6" t="inlineStr">
        <is>
          <t>networkintelligence.ai</t>
        </is>
      </c>
      <c r="B291" s="6" t="inlineStr">
        <is>
          <t>sme</t>
        </is>
      </c>
      <c r="C291" s="6" t="n">
        <v>8</v>
      </c>
      <c r="D291" s="7" t="inlineStr">
        <is>
          <t>A retention period, or an 'erase when the purpose ends' commitment, is stated.</t>
        </is>
      </c>
      <c r="E291" s="6" t="inlineStr">
        <is>
          <t>Rule 8; Act S.8(7)-(8)</t>
        </is>
      </c>
      <c r="F291" s="6" t="inlineStr">
        <is>
          <t>yes</t>
        </is>
      </c>
      <c r="G291" s="6" t="inlineStr"/>
      <c r="H291" s="6" t="inlineStr"/>
      <c r="I291" s="8">
        <f>HYPERLINK("#'networkintelligence.ai'!A1","read policy")</f>
        <v/>
      </c>
    </row>
    <row r="292">
      <c r="A292" s="6" t="inlineStr">
        <is>
          <t>networkintelligence.ai</t>
        </is>
      </c>
      <c r="B292" s="6" t="inlineStr">
        <is>
          <t>sme</t>
        </is>
      </c>
      <c r="C292" s="6" t="n">
        <v>9</v>
      </c>
      <c r="D292" s="7" t="inlineStr">
        <is>
          <t>Reasonable security safeguards (encryption, access control) are disclosed.</t>
        </is>
      </c>
      <c r="E292" s="6" t="inlineStr">
        <is>
          <t>Rule 6; Act S.8(5)</t>
        </is>
      </c>
      <c r="F292" s="6" t="inlineStr">
        <is>
          <t>yes</t>
        </is>
      </c>
      <c r="G292" s="6" t="inlineStr"/>
      <c r="H292" s="6" t="inlineStr"/>
      <c r="I292" s="8">
        <f>HYPERLINK("#'networkintelligence.ai'!A1","read policy")</f>
        <v/>
      </c>
    </row>
    <row r="293">
      <c r="A293" s="6" t="inlineStr">
        <is>
          <t>networkintelligence.ai</t>
        </is>
      </c>
      <c r="B293" s="6" t="inlineStr">
        <is>
          <t>sme</t>
        </is>
      </c>
      <c r="C293" s="6" t="n">
        <v>10</v>
      </c>
      <c r="D293" s="7" t="inlineStr">
        <is>
          <t>A commitment to notify affected users and the Board of a personal-data breach.</t>
        </is>
      </c>
      <c r="E293" s="6" t="inlineStr">
        <is>
          <t>Rule 7; Act S.8(6)</t>
        </is>
      </c>
      <c r="F293" s="6" t="inlineStr">
        <is>
          <t>yes</t>
        </is>
      </c>
      <c r="G293" s="6" t="inlineStr"/>
      <c r="H293" s="6" t="inlineStr"/>
      <c r="I293" s="8">
        <f>HYPERLINK("#'networkintelligence.ai'!A1","read policy")</f>
        <v/>
      </c>
    </row>
    <row r="294">
      <c r="A294" s="6" t="inlineStr">
        <is>
          <t>networkintelligence.ai</t>
        </is>
      </c>
      <c r="B294" s="6" t="inlineStr">
        <is>
          <t>sme</t>
        </is>
      </c>
      <c r="C294" s="6" t="n">
        <v>11</v>
      </c>
      <c r="D294" s="7" t="inlineStr">
        <is>
          <t>Withdrawal of consent is offered and is as easy as giving it, with a route stated.</t>
        </is>
      </c>
      <c r="E294" s="6" t="inlineStr">
        <is>
          <t>Rule 3; Act S.6(4)</t>
        </is>
      </c>
      <c r="F294" s="6" t="inlineStr">
        <is>
          <t>yes</t>
        </is>
      </c>
      <c r="G294" s="6" t="inlineStr"/>
      <c r="H294" s="6" t="inlineStr"/>
      <c r="I294" s="8">
        <f>HYPERLINK("#'networkintelligence.ai'!A1","read policy")</f>
        <v/>
      </c>
    </row>
    <row r="295">
      <c r="A295" s="6" t="inlineStr">
        <is>
          <t>networkintelligence.ai</t>
        </is>
      </c>
      <c r="B295" s="6" t="inlineStr">
        <is>
          <t>sme</t>
        </is>
      </c>
      <c r="C295" s="6" t="n">
        <v>12</v>
      </c>
      <c r="D295" s="7" t="inlineStr">
        <is>
          <t>Consent is a clear affirmative action, unbundled, not pre-ticked or implied.</t>
        </is>
      </c>
      <c r="E295" s="6" t="inlineStr">
        <is>
          <t>Act S.6</t>
        </is>
      </c>
      <c r="F295" s="6" t="inlineStr">
        <is>
          <t>yes</t>
        </is>
      </c>
      <c r="G295" s="6" t="inlineStr"/>
      <c r="H295" s="6" t="inlineStr"/>
      <c r="I295" s="8">
        <f>HYPERLINK("#'networkintelligence.ai'!A1","read policy")</f>
        <v/>
      </c>
    </row>
    <row r="296">
      <c r="A296" s="6" t="inlineStr">
        <is>
          <t>networkintelligence.ai</t>
        </is>
      </c>
      <c r="B296" s="6" t="inlineStr">
        <is>
          <t>sme</t>
        </is>
      </c>
      <c r="C296" s="6" t="n">
        <v>13</v>
      </c>
      <c r="D296" s="7" t="inlineStr">
        <is>
          <t>The Consent Manager route is acknowledged where relevant.</t>
        </is>
      </c>
      <c r="E296" s="6" t="inlineStr">
        <is>
          <t>Rule 4; Act S.6(7)</t>
        </is>
      </c>
      <c r="F296" s="6" t="inlineStr">
        <is>
          <t>yes</t>
        </is>
      </c>
      <c r="G296" s="6" t="inlineStr"/>
      <c r="H296" s="6" t="inlineStr"/>
      <c r="I296" s="8">
        <f>HYPERLINK("#'networkintelligence.ai'!A1","read policy")</f>
        <v/>
      </c>
    </row>
    <row r="297">
      <c r="A297" s="6" t="inlineStr">
        <is>
          <t>networkintelligence.ai</t>
        </is>
      </c>
      <c r="B297" s="6" t="inlineStr">
        <is>
          <t>sme</t>
        </is>
      </c>
      <c r="C297" s="6" t="n">
        <v>14</v>
      </c>
      <c r="D297" s="7" t="inlineStr">
        <is>
          <t>Users can review consent given / records of consent are maintained.</t>
        </is>
      </c>
      <c r="E297" s="6" t="inlineStr">
        <is>
          <t>Act S.6(6)</t>
        </is>
      </c>
      <c r="F297" s="6" t="inlineStr">
        <is>
          <t>yes</t>
        </is>
      </c>
      <c r="G297" s="6" t="inlineStr"/>
      <c r="H297" s="6" t="inlineStr"/>
      <c r="I297" s="8">
        <f>HYPERLINK("#'networkintelligence.ai'!A1","read policy")</f>
        <v/>
      </c>
    </row>
    <row r="298">
      <c r="A298" s="6" t="inlineStr">
        <is>
          <t>networkintelligence.ai</t>
        </is>
      </c>
      <c r="B298" s="6" t="inlineStr">
        <is>
          <t>sme</t>
        </is>
      </c>
      <c r="C298" s="6" t="n">
        <v>15</v>
      </c>
      <c r="D298" s="7" t="inlineStr">
        <is>
          <t>Verifiable parental consent for under-18s, and no tracking, behavioural monitoring or targeted ads to children.</t>
        </is>
      </c>
      <c r="E298" s="6" t="inlineStr">
        <is>
          <t>Act S.9</t>
        </is>
      </c>
      <c r="F298" s="6" t="inlineStr">
        <is>
          <t>yes</t>
        </is>
      </c>
      <c r="G298" s="6" t="inlineStr"/>
      <c r="H298" s="6" t="inlineStr"/>
      <c r="I298" s="8">
        <f>HYPERLINK("#'networkintelligence.ai'!A1","read policy")</f>
        <v/>
      </c>
    </row>
    <row r="299">
      <c r="A299" s="6" t="inlineStr">
        <is>
          <t>networkintelligence.ai</t>
        </is>
      </c>
      <c r="B299" s="6" t="inlineStr">
        <is>
          <t>sme</t>
        </is>
      </c>
      <c r="C299" s="6" t="n">
        <v>16</v>
      </c>
      <c r="D299" s="7" t="inlineStr">
        <is>
          <t>The right to access a summary of personal data being processed is disclosed.</t>
        </is>
      </c>
      <c r="E299" s="6" t="inlineStr">
        <is>
          <t>Act S.11</t>
        </is>
      </c>
      <c r="F299" s="6" t="inlineStr">
        <is>
          <t>yes</t>
        </is>
      </c>
      <c r="G299" s="6" t="inlineStr"/>
      <c r="H299" s="6" t="inlineStr"/>
      <c r="I299" s="8">
        <f>HYPERLINK("#'networkintelligence.ai'!A1","read policy")</f>
        <v/>
      </c>
    </row>
    <row r="300">
      <c r="A300" s="6" t="inlineStr">
        <is>
          <t>networkintelligence.ai</t>
        </is>
      </c>
      <c r="B300" s="6" t="inlineStr">
        <is>
          <t>sme</t>
        </is>
      </c>
      <c r="C300" s="6" t="n">
        <v>17</v>
      </c>
      <c r="D300" s="7" t="inlineStr">
        <is>
          <t>The right to correction of personal data is disclosed.</t>
        </is>
      </c>
      <c r="E300" s="6" t="inlineStr">
        <is>
          <t>Act S.12</t>
        </is>
      </c>
      <c r="F300" s="6" t="inlineStr">
        <is>
          <t>yes</t>
        </is>
      </c>
      <c r="G300" s="6" t="inlineStr"/>
      <c r="H300" s="6" t="inlineStr"/>
      <c r="I300" s="8">
        <f>HYPERLINK("#'networkintelligence.ai'!A1","read policy")</f>
        <v/>
      </c>
    </row>
    <row r="301">
      <c r="A301" s="6" t="inlineStr">
        <is>
          <t>networkintelligence.ai</t>
        </is>
      </c>
      <c r="B301" s="6" t="inlineStr">
        <is>
          <t>sme</t>
        </is>
      </c>
      <c r="C301" s="6" t="n">
        <v>18</v>
      </c>
      <c r="D301" s="7" t="inlineStr">
        <is>
          <t>The right to erasure of personal data is disclosed.</t>
        </is>
      </c>
      <c r="E301" s="6" t="inlineStr">
        <is>
          <t>Act S.12</t>
        </is>
      </c>
      <c r="F301" s="6" t="inlineStr">
        <is>
          <t>yes</t>
        </is>
      </c>
      <c r="G301" s="6" t="inlineStr"/>
      <c r="H301" s="6" t="inlineStr"/>
      <c r="I301" s="8">
        <f>HYPERLINK("#'networkintelligence.ai'!A1","read policy")</f>
        <v/>
      </c>
    </row>
    <row r="302">
      <c r="A302" s="6" t="inlineStr">
        <is>
          <t>networkintelligence.ai</t>
        </is>
      </c>
      <c r="B302" s="6" t="inlineStr">
        <is>
          <t>sme</t>
        </is>
      </c>
      <c r="C302" s="6" t="n">
        <v>19</v>
      </c>
      <c r="D302" s="7" t="inlineStr">
        <is>
          <t>A readily available grievance-redressal route is disclosed.</t>
        </is>
      </c>
      <c r="E302" s="6" t="inlineStr">
        <is>
          <t>Act S.13</t>
        </is>
      </c>
      <c r="F302" s="6" t="inlineStr">
        <is>
          <t>yes</t>
        </is>
      </c>
      <c r="G302" s="6" t="inlineStr"/>
      <c r="H302" s="6" t="inlineStr"/>
      <c r="I302" s="8">
        <f>HYPERLINK("#'networkintelligence.ai'!A1","read policy")</f>
        <v/>
      </c>
    </row>
    <row r="303">
      <c r="A303" s="6" t="inlineStr">
        <is>
          <t>networkintelligence.ai</t>
        </is>
      </c>
      <c r="B303" s="6" t="inlineStr">
        <is>
          <t>sme</t>
        </is>
      </c>
      <c r="C303" s="6" t="n">
        <v>20</v>
      </c>
      <c r="D303" s="7" t="inlineStr">
        <is>
          <t>The right to nominate is disclosed.</t>
        </is>
      </c>
      <c r="E303" s="6" t="inlineStr">
        <is>
          <t>Act S.14</t>
        </is>
      </c>
      <c r="F303" s="6" t="inlineStr">
        <is>
          <t>yes</t>
        </is>
      </c>
      <c r="G303" s="6" t="inlineStr"/>
      <c r="H303" s="6" t="inlineStr"/>
      <c r="I303" s="8">
        <f>HYPERLINK("#'networkintelligence.ai'!A1","read policy")</f>
        <v/>
      </c>
    </row>
    <row r="304">
      <c r="A304" s="6" t="inlineStr">
        <is>
          <t>networkintelligence.ai</t>
        </is>
      </c>
      <c r="B304" s="6" t="inlineStr">
        <is>
          <t>sme</t>
        </is>
      </c>
      <c r="C304" s="6" t="n">
        <v>21</v>
      </c>
      <c r="D304" s="7" t="inlineStr">
        <is>
          <t>A reachable grievance officer or business contact for data queries is published.</t>
        </is>
      </c>
      <c r="E304" s="6" t="inlineStr">
        <is>
          <t>Act S.8(9)-(10), S.13</t>
        </is>
      </c>
      <c r="F304" s="6" t="inlineStr">
        <is>
          <t>yes</t>
        </is>
      </c>
      <c r="G304" s="6" t="inlineStr"/>
      <c r="H304" s="6" t="inlineStr"/>
      <c r="I304" s="8">
        <f>HYPERLINK("#'networkintelligence.ai'!A1","read policy")</f>
        <v/>
      </c>
    </row>
    <row r="305">
      <c r="A305" s="6" t="inlineStr">
        <is>
          <t>networkintelligence.ai</t>
        </is>
      </c>
      <c r="B305" s="6" t="inlineStr">
        <is>
          <t>sme</t>
        </is>
      </c>
      <c r="C305" s="6" t="n">
        <v>22</v>
      </c>
      <c r="D305" s="7" t="inlineStr">
        <is>
          <t>A Data Protection Officer is appointed and published (Significant Data Fiduciary).</t>
        </is>
      </c>
      <c r="E305" s="6" t="inlineStr">
        <is>
          <t>Rule 13; Act S.10</t>
        </is>
      </c>
      <c r="F305" s="6" t="inlineStr">
        <is>
          <t>yes</t>
        </is>
      </c>
      <c r="G305" s="6" t="inlineStr"/>
      <c r="H305" s="6" t="inlineStr"/>
      <c r="I305" s="8">
        <f>HYPERLINK("#'networkintelligence.ai'!A1","read policy")</f>
        <v/>
      </c>
    </row>
    <row r="306">
      <c r="A306" s="6" t="inlineStr">
        <is>
          <t>networkintelligence.ai</t>
        </is>
      </c>
      <c r="B306" s="6" t="inlineStr">
        <is>
          <t>sme</t>
        </is>
      </c>
      <c r="C306" s="6" t="n">
        <v>23</v>
      </c>
      <c r="D306" s="7" t="inlineStr">
        <is>
          <t>Processors engaged only under a valid contract.</t>
        </is>
      </c>
      <c r="E306" s="6" t="inlineStr">
        <is>
          <t>Act S.8(2)</t>
        </is>
      </c>
      <c r="F306" s="6" t="inlineStr">
        <is>
          <t>yes</t>
        </is>
      </c>
      <c r="G306" s="6" t="inlineStr"/>
      <c r="H306" s="6" t="inlineStr"/>
      <c r="I306" s="8">
        <f>HYPERLINK("#'networkintelligence.ai'!A1","read policy")</f>
        <v/>
      </c>
    </row>
    <row r="307">
      <c r="A307" s="6" t="inlineStr">
        <is>
          <t>networkintelligence.ai</t>
        </is>
      </c>
      <c r="B307" s="6" t="inlineStr">
        <is>
          <t>sme</t>
        </is>
      </c>
      <c r="C307" s="6" t="n">
        <v>24</v>
      </c>
      <c r="D307" s="7" t="inlineStr">
        <is>
          <t>Third parties / recipients of data sharing are disclosed.</t>
        </is>
      </c>
      <c r="E307" s="6" t="inlineStr">
        <is>
          <t>Act S.8(2)</t>
        </is>
      </c>
      <c r="F307" s="6" t="inlineStr">
        <is>
          <t>yes</t>
        </is>
      </c>
      <c r="G307" s="6" t="inlineStr"/>
      <c r="H307" s="6" t="inlineStr"/>
      <c r="I307" s="8">
        <f>HYPERLINK("#'networkintelligence.ai'!A1","read policy")</f>
        <v/>
      </c>
    </row>
    <row r="308">
      <c r="A308" s="6" t="inlineStr">
        <is>
          <t>networkintelligence.ai</t>
        </is>
      </c>
      <c r="B308" s="6" t="inlineStr">
        <is>
          <t>sme</t>
        </is>
      </c>
      <c r="C308" s="6" t="n">
        <v>25</v>
      </c>
      <c r="D308" s="7" t="inlineStr">
        <is>
          <t>Sub-processor oversight is addressed.</t>
        </is>
      </c>
      <c r="E308" s="6" t="inlineStr">
        <is>
          <t>Rule 6; Act S.8(2)</t>
        </is>
      </c>
      <c r="F308" s="6" t="inlineStr">
        <is>
          <t>yes</t>
        </is>
      </c>
      <c r="G308" s="6" t="inlineStr"/>
      <c r="H308" s="6" t="inlineStr"/>
      <c r="I308" s="8">
        <f>HYPERLINK("#'networkintelligence.ai'!A1","read policy")</f>
        <v/>
      </c>
    </row>
    <row r="309">
      <c r="A309" s="6" t="inlineStr">
        <is>
          <t>networkintelligence.ai</t>
        </is>
      </c>
      <c r="B309" s="6" t="inlineStr">
        <is>
          <t>sme</t>
        </is>
      </c>
      <c r="C309" s="6" t="n">
        <v>26</v>
      </c>
      <c r="D309" s="7" t="inlineStr">
        <is>
          <t>Security obligations flow down to processors.</t>
        </is>
      </c>
      <c r="E309" s="6" t="inlineStr">
        <is>
          <t>Rule 6; Act S.8(2)</t>
        </is>
      </c>
      <c r="F309" s="6" t="inlineStr">
        <is>
          <t>yes</t>
        </is>
      </c>
      <c r="G309" s="6" t="inlineStr"/>
      <c r="H309" s="6" t="inlineStr"/>
      <c r="I309" s="8">
        <f>HYPERLINK("#'networkintelligence.ai'!A1","read policy")</f>
        <v/>
      </c>
    </row>
    <row r="310">
      <c r="A310" s="6" t="inlineStr">
        <is>
          <t>networkintelligence.ai</t>
        </is>
      </c>
      <c r="B310" s="6" t="inlineStr">
        <is>
          <t>sme</t>
        </is>
      </c>
      <c r="C310" s="6" t="n">
        <v>27</v>
      </c>
      <c r="D310" s="7" t="inlineStr">
        <is>
          <t>Transfers of personal data outside India are disclosed.</t>
        </is>
      </c>
      <c r="E310" s="6" t="inlineStr">
        <is>
          <t>Act S.16</t>
        </is>
      </c>
      <c r="F310" s="6" t="inlineStr">
        <is>
          <t>yes</t>
        </is>
      </c>
      <c r="G310" s="6" t="inlineStr"/>
      <c r="H310" s="6" t="inlineStr"/>
      <c r="I310" s="8">
        <f>HYPERLINK("#'networkintelligence.ai'!A1","read policy")</f>
        <v/>
      </c>
    </row>
    <row r="311">
      <c r="A311" s="6" t="inlineStr">
        <is>
          <t>networkintelligence.ai</t>
        </is>
      </c>
      <c r="B311" s="6" t="inlineStr">
        <is>
          <t>sme</t>
        </is>
      </c>
      <c r="C311" s="6" t="n">
        <v>28</v>
      </c>
      <c r="D311" s="7" t="inlineStr">
        <is>
          <t>Compliance with any restricted-country notification is addressed.</t>
        </is>
      </c>
      <c r="E311" s="6" t="inlineStr">
        <is>
          <t>Act S.16</t>
        </is>
      </c>
      <c r="F311" s="6" t="inlineStr">
        <is>
          <t>yes</t>
        </is>
      </c>
      <c r="G311" s="6" t="inlineStr"/>
      <c r="H311" s="6" t="inlineStr"/>
      <c r="I311" s="8">
        <f>HYPERLINK("#'networkintelligence.ai'!A1","read policy")</f>
        <v/>
      </c>
    </row>
    <row r="312">
      <c r="A312" s="6" t="inlineStr">
        <is>
          <t>networkintelligence.ai</t>
        </is>
      </c>
      <c r="B312" s="6" t="inlineStr">
        <is>
          <t>sme</t>
        </is>
      </c>
      <c r="C312" s="6" t="n">
        <v>29</v>
      </c>
      <c r="D312" s="7" t="inlineStr">
        <is>
          <t>Data storage location is disclosed.</t>
        </is>
      </c>
      <c r="E312" s="6" t="inlineStr">
        <is>
          <t>Act S.16</t>
        </is>
      </c>
      <c r="F312" s="6" t="inlineStr">
        <is>
          <t>yes</t>
        </is>
      </c>
      <c r="G312" s="6" t="inlineStr"/>
      <c r="H312" s="6" t="inlineStr"/>
      <c r="I312" s="8">
        <f>HYPERLINK("#'networkintelligence.ai'!A1","read policy")</f>
        <v/>
      </c>
    </row>
    <row r="313">
      <c r="A313" s="6" t="inlineStr">
        <is>
          <t>networkintelligence.ai</t>
        </is>
      </c>
      <c r="B313" s="6" t="inlineStr">
        <is>
          <t>sme</t>
        </is>
      </c>
      <c r="C313" s="6" t="n">
        <v>30</v>
      </c>
      <c r="D313" s="7" t="inlineStr">
        <is>
          <t>A Data Protection Impact Assessment is undertaken (Significant Data Fiduciary).</t>
        </is>
      </c>
      <c r="E313" s="6" t="inlineStr">
        <is>
          <t>Rule 13; Act S.10</t>
        </is>
      </c>
      <c r="F313" s="6" t="inlineStr">
        <is>
          <t>yes</t>
        </is>
      </c>
      <c r="G313" s="6" t="inlineStr"/>
      <c r="H313" s="6" t="inlineStr"/>
      <c r="I313" s="8">
        <f>HYPERLINK("#'networkintelligence.ai'!A1","read policy")</f>
        <v/>
      </c>
    </row>
    <row r="314">
      <c r="A314" s="6" t="inlineStr">
        <is>
          <t>networkintelligence.ai</t>
        </is>
      </c>
      <c r="B314" s="6" t="inlineStr">
        <is>
          <t>sme</t>
        </is>
      </c>
      <c r="C314" s="6" t="n">
        <v>31</v>
      </c>
      <c r="D314" s="7" t="inlineStr">
        <is>
          <t>Privacy by design and periodic audit are addressed.</t>
        </is>
      </c>
      <c r="E314" s="6" t="inlineStr">
        <is>
          <t>Rule 13; Act S.8</t>
        </is>
      </c>
      <c r="F314" s="6" t="inlineStr">
        <is>
          <t>yes</t>
        </is>
      </c>
      <c r="G314" s="6" t="inlineStr"/>
      <c r="H314" s="6" t="inlineStr"/>
      <c r="I314" s="8">
        <f>HYPERLINK("#'networkintelligence.ai'!A1","read policy")</f>
        <v/>
      </c>
    </row>
    <row r="315">
      <c r="A315" s="6" t="inlineStr">
        <is>
          <t>networkintelligence.ai</t>
        </is>
      </c>
      <c r="B315" s="6" t="inlineStr">
        <is>
          <t>sme</t>
        </is>
      </c>
      <c r="C315" s="6" t="n">
        <v>32</v>
      </c>
      <c r="D315" s="7" t="inlineStr">
        <is>
          <t>Data-minimisation measures by design are addressed.</t>
        </is>
      </c>
      <c r="E315" s="6" t="inlineStr">
        <is>
          <t>Act S.8</t>
        </is>
      </c>
      <c r="F315" s="6" t="inlineStr">
        <is>
          <t>yes</t>
        </is>
      </c>
      <c r="G315" s="6" t="inlineStr"/>
      <c r="H315" s="6" t="inlineStr"/>
      <c r="I315" s="8">
        <f>HYPERLINK("#'networkintelligence.ai'!A1","read policy")</f>
        <v/>
      </c>
    </row>
    <row r="316">
      <c r="A316" s="6" t="inlineStr">
        <is>
          <t>networkintelligence.ai</t>
        </is>
      </c>
      <c r="B316" s="6" t="inlineStr">
        <is>
          <t>sme</t>
        </is>
      </c>
      <c r="C316" s="6" t="n">
        <v>33</v>
      </c>
      <c r="D316" s="7" t="inlineStr">
        <is>
          <t>A published privacy policy exists and is reachable.</t>
        </is>
      </c>
      <c r="E316" s="6" t="inlineStr">
        <is>
          <t>Rule 3; Act S.5</t>
        </is>
      </c>
      <c r="F316" s="6" t="inlineStr">
        <is>
          <t>yes</t>
        </is>
      </c>
      <c r="G316" s="6" t="inlineStr"/>
      <c r="H316" s="6" t="inlineStr"/>
      <c r="I316" s="8">
        <f>HYPERLINK("#'networkintelligence.ai'!A1","read policy")</f>
        <v/>
      </c>
    </row>
    <row r="317">
      <c r="A317" s="6" t="inlineStr">
        <is>
          <t>networkintelligence.ai</t>
        </is>
      </c>
      <c r="B317" s="6" t="inlineStr">
        <is>
          <t>sme</t>
        </is>
      </c>
      <c r="C317" s="6" t="n">
        <v>34</v>
      </c>
      <c r="D317" s="7" t="inlineStr">
        <is>
          <t>A cookie policy / tracker disclosure is published.</t>
        </is>
      </c>
      <c r="E317" s="6" t="inlineStr">
        <is>
          <t>Rule 3; Act S.5</t>
        </is>
      </c>
      <c r="F317" s="6" t="inlineStr">
        <is>
          <t>yes</t>
        </is>
      </c>
      <c r="G317" s="6" t="inlineStr"/>
      <c r="H317" s="6" t="inlineStr"/>
      <c r="I317" s="8">
        <f>HYPERLINK("#'networkintelligence.ai'!A1","read policy")</f>
        <v/>
      </c>
    </row>
    <row r="318">
      <c r="A318" s="6" t="inlineStr">
        <is>
          <t>networkintelligence.ai</t>
        </is>
      </c>
      <c r="B318" s="6" t="inlineStr">
        <is>
          <t>sme</t>
        </is>
      </c>
      <c r="C318" s="6" t="n">
        <v>35</v>
      </c>
      <c r="D318" s="7" t="inlineStr">
        <is>
          <t>Terms of service are published.</t>
        </is>
      </c>
      <c r="E318" s="6" t="inlineStr">
        <is>
          <t>Act S.5</t>
        </is>
      </c>
      <c r="F318" s="6" t="inlineStr">
        <is>
          <t>yes</t>
        </is>
      </c>
      <c r="G318" s="6" t="inlineStr"/>
      <c r="H318" s="6" t="inlineStr"/>
      <c r="I318" s="8">
        <f>HYPERLINK("#'networkintelligence.ai'!A1","read policy")</f>
        <v/>
      </c>
    </row>
    <row r="319">
      <c r="A319" s="6" t="inlineStr">
        <is>
          <t>networkintelligence.ai</t>
        </is>
      </c>
      <c r="B319" s="6" t="inlineStr">
        <is>
          <t>sme</t>
        </is>
      </c>
      <c r="C319" s="6" t="n">
        <v>36</v>
      </c>
      <c r="D319" s="7" t="inlineStr">
        <is>
          <t>Notice is available in an accessible form (and Indian languages where relevant).</t>
        </is>
      </c>
      <c r="E319" s="6" t="inlineStr">
        <is>
          <t>Rule 3; Act S.5</t>
        </is>
      </c>
      <c r="F319" s="6" t="inlineStr">
        <is>
          <t>yes</t>
        </is>
      </c>
      <c r="G319" s="6" t="inlineStr"/>
      <c r="H319" s="6" t="inlineStr"/>
      <c r="I319" s="8">
        <f>HYPERLINK("#'networkintelligence.ai'!A1","read policy")</f>
        <v/>
      </c>
    </row>
    <row r="320">
      <c r="A320" s="6" t="inlineStr">
        <is>
          <t>networkintelligence.ai</t>
        </is>
      </c>
      <c r="B320" s="6" t="inlineStr">
        <is>
          <t>sme</t>
        </is>
      </c>
      <c r="C320" s="6" t="n">
        <v>37</v>
      </c>
      <c r="D320" s="7" t="inlineStr">
        <is>
          <t>Registered office / entity contact details are published.</t>
        </is>
      </c>
      <c r="E320" s="6" t="inlineStr">
        <is>
          <t>Act S.8(9)</t>
        </is>
      </c>
      <c r="F320" s="6" t="inlineStr">
        <is>
          <t>yes</t>
        </is>
      </c>
      <c r="G320" s="6" t="inlineStr"/>
      <c r="H320" s="6" t="inlineStr"/>
      <c r="I320" s="8">
        <f>HYPERLINK("#'networkintelligence.ai'!A1","read policy")</f>
        <v/>
      </c>
    </row>
    <row r="321">
      <c r="A321" s="6" t="inlineStr">
        <is>
          <t>networkintelligence.ai</t>
        </is>
      </c>
      <c r="B321" s="6" t="inlineStr">
        <is>
          <t>sme</t>
        </is>
      </c>
      <c r="C321" s="6" t="n">
        <v>38</v>
      </c>
      <c r="D321" s="7" t="inlineStr">
        <is>
          <t>The site serves over HTTPS (encryption in transit).</t>
        </is>
      </c>
      <c r="E321" s="6" t="inlineStr">
        <is>
          <t>Rule 6; Act S.8(5)</t>
        </is>
      </c>
      <c r="F321" s="6" t="inlineStr">
        <is>
          <t>yes</t>
        </is>
      </c>
      <c r="G321" s="6" t="inlineStr"/>
      <c r="H321" s="6" t="inlineStr"/>
      <c r="I321" s="8">
        <f>HYPERLINK("#'networkintelligence.ai'!A1","read policy")</f>
        <v/>
      </c>
    </row>
    <row r="322">
      <c r="A322" s="6" t="inlineStr">
        <is>
          <t>networkintelligence.ai</t>
        </is>
      </c>
      <c r="B322" s="6" t="inlineStr">
        <is>
          <t>sme</t>
        </is>
      </c>
      <c r="C322" s="6" t="n">
        <v>39</v>
      </c>
      <c r="D322" s="7" t="inlineStr">
        <is>
          <t>Encryption at rest is disclosed.</t>
        </is>
      </c>
      <c r="E322" s="6" t="inlineStr">
        <is>
          <t>Rule 6; Act S.8(5)</t>
        </is>
      </c>
      <c r="F322" s="6" t="inlineStr">
        <is>
          <t>yes</t>
        </is>
      </c>
      <c r="G322" s="6" t="inlineStr"/>
      <c r="H322" s="6" t="inlineStr"/>
      <c r="I322" s="8">
        <f>HYPERLINK("#'networkintelligence.ai'!A1","read policy")</f>
        <v/>
      </c>
    </row>
    <row r="323">
      <c r="A323" s="6" t="inlineStr">
        <is>
          <t>networkintelligence.ai</t>
        </is>
      </c>
      <c r="B323" s="6" t="inlineStr">
        <is>
          <t>sme</t>
        </is>
      </c>
      <c r="C323" s="6" t="n">
        <v>40</v>
      </c>
      <c r="D323" s="7" t="inlineStr">
        <is>
          <t>Access controls and logging are disclosed.</t>
        </is>
      </c>
      <c r="E323" s="6" t="inlineStr">
        <is>
          <t>Rule 6; Act S.8(5)</t>
        </is>
      </c>
      <c r="F323" s="6" t="inlineStr">
        <is>
          <t>yes</t>
        </is>
      </c>
      <c r="G323" s="6" t="inlineStr"/>
      <c r="H323" s="6" t="inlineStr"/>
      <c r="I323" s="8">
        <f>HYPERLINK("#'networkintelligence.ai'!A1","read policy")</f>
        <v/>
      </c>
    </row>
    <row r="324">
      <c r="A324" s="6" t="inlineStr">
        <is>
          <t>networkintelligence.ai</t>
        </is>
      </c>
      <c r="B324" s="6" t="inlineStr">
        <is>
          <t>sme</t>
        </is>
      </c>
      <c r="C324" s="6" t="n">
        <v>41</v>
      </c>
      <c r="D324" s="7" t="inlineStr">
        <is>
          <t>An internal data-protection policy / governance is in place.</t>
        </is>
      </c>
      <c r="E324" s="6" t="inlineStr">
        <is>
          <t>Act S.8</t>
        </is>
      </c>
      <c r="F324" s="6" t="inlineStr">
        <is>
          <t>yes</t>
        </is>
      </c>
      <c r="G324" s="6" t="inlineStr"/>
      <c r="H324" s="6" t="inlineStr"/>
      <c r="I324" s="8">
        <f>HYPERLINK("#'networkintelligence.ai'!A1","read policy")</f>
        <v/>
      </c>
    </row>
    <row r="325">
      <c r="A325" s="6" t="inlineStr">
        <is>
          <t>networkintelligence.ai</t>
        </is>
      </c>
      <c r="B325" s="6" t="inlineStr">
        <is>
          <t>sme</t>
        </is>
      </c>
      <c r="C325" s="6" t="n">
        <v>42</v>
      </c>
      <c r="D325" s="7" t="inlineStr">
        <is>
          <t>Staff are trained on data protection.</t>
        </is>
      </c>
      <c r="E325" s="6" t="inlineStr">
        <is>
          <t>Act Rule 13</t>
        </is>
      </c>
      <c r="F325" s="6" t="inlineStr">
        <is>
          <t>yes</t>
        </is>
      </c>
      <c r="G325" s="6" t="inlineStr"/>
      <c r="H325" s="6" t="inlineStr"/>
      <c r="I325" s="8">
        <f>HYPERLINK("#'networkintelligence.ai'!A1","read policy")</f>
        <v/>
      </c>
    </row>
    <row r="326">
      <c r="A326" s="6" t="inlineStr">
        <is>
          <t>networkintelligence.ai</t>
        </is>
      </c>
      <c r="B326" s="6" t="inlineStr">
        <is>
          <t>sme</t>
        </is>
      </c>
      <c r="C326" s="6" t="n">
        <v>43</v>
      </c>
      <c r="D326" s="7" t="inlineStr">
        <is>
          <t>Records of processing activities are maintained.</t>
        </is>
      </c>
      <c r="E326" s="6" t="inlineStr">
        <is>
          <t>Act S.8</t>
        </is>
      </c>
      <c r="F326" s="6" t="inlineStr">
        <is>
          <t>yes</t>
        </is>
      </c>
      <c r="G326" s="6" t="inlineStr"/>
      <c r="H326" s="6" t="inlineStr"/>
      <c r="I326" s="8">
        <f>HYPERLINK("#'networkintelligence.ai'!A1","read policy")</f>
        <v/>
      </c>
    </row>
    <row r="327">
      <c r="A327" s="6" t="inlineStr">
        <is>
          <t>networkintelligence.ai</t>
        </is>
      </c>
      <c r="B327" s="6" t="inlineStr">
        <is>
          <t>sme</t>
        </is>
      </c>
      <c r="C327" s="6" t="n">
        <v>44</v>
      </c>
      <c r="D327" s="7" t="inlineStr">
        <is>
          <t>An incident-response plan exists.</t>
        </is>
      </c>
      <c r="E327" s="6" t="inlineStr">
        <is>
          <t>Rule 7; Act S.8(6)</t>
        </is>
      </c>
      <c r="F327" s="6" t="inlineStr">
        <is>
          <t>yes</t>
        </is>
      </c>
      <c r="G327" s="6" t="inlineStr"/>
      <c r="H327" s="6" t="inlineStr"/>
      <c r="I327" s="8">
        <f>HYPERLINK("#'networkintelligence.ai'!A1","read policy")</f>
        <v/>
      </c>
    </row>
    <row r="328">
      <c r="A328" s="6" t="inlineStr">
        <is>
          <t>networkintelligence.ai</t>
        </is>
      </c>
      <c r="B328" s="6" t="inlineStr">
        <is>
          <t>sme</t>
        </is>
      </c>
      <c r="C328" s="6" t="n">
        <v>45</v>
      </c>
      <c r="D328" s="7" t="inlineStr">
        <is>
          <t>Vendor / third-party risk management is addressed.</t>
        </is>
      </c>
      <c r="E328" s="6" t="inlineStr">
        <is>
          <t>Act Rule 6</t>
        </is>
      </c>
      <c r="F328" s="6" t="inlineStr">
        <is>
          <t>yes</t>
        </is>
      </c>
      <c r="G328" s="6" t="inlineStr"/>
      <c r="H328" s="6" t="inlineStr"/>
      <c r="I328" s="8">
        <f>HYPERLINK("#'networkintelligence.ai'!A1","read policy")</f>
        <v/>
      </c>
    </row>
    <row r="329">
      <c r="A329" s="6" t="inlineStr">
        <is>
          <t>networkintelligence.ai</t>
        </is>
      </c>
      <c r="B329" s="6" t="inlineStr">
        <is>
          <t>sme</t>
        </is>
      </c>
      <c r="C329" s="6" t="n">
        <v>46</v>
      </c>
      <c r="D329" s="7" t="inlineStr">
        <is>
          <t>Significant-Data-Fiduciary obligations / Board reporting are addressed where applicable.</t>
        </is>
      </c>
      <c r="E329" s="6" t="inlineStr">
        <is>
          <t>Rule 13; Act S.10</t>
        </is>
      </c>
      <c r="F329" s="6" t="inlineStr">
        <is>
          <t>yes</t>
        </is>
      </c>
      <c r="G329" s="6" t="inlineStr"/>
      <c r="H329" s="6" t="inlineStr"/>
      <c r="I329" s="8">
        <f>HYPERLINK("#'networkintelligence.ai'!A1","read policy")</f>
        <v/>
      </c>
    </row>
    <row r="330">
      <c r="A330" s="6" t="inlineStr">
        <is>
          <t>networkintelligence.ai</t>
        </is>
      </c>
      <c r="B330" s="6" t="inlineStr">
        <is>
          <t>sme</t>
        </is>
      </c>
      <c r="C330" s="6" t="n">
        <v>47</v>
      </c>
      <c r="D330" s="7" t="inlineStr">
        <is>
          <t>A periodic compliance review / audit is performed.</t>
        </is>
      </c>
      <c r="E330" s="6" t="inlineStr">
        <is>
          <t>Act Rule 13</t>
        </is>
      </c>
      <c r="F330" s="6" t="inlineStr">
        <is>
          <t>yes</t>
        </is>
      </c>
      <c r="G330" s="6" t="inlineStr"/>
      <c r="H330" s="6" t="inlineStr"/>
      <c r="I330" s="8">
        <f>HYPERLINK("#'networkintelligence.ai'!A1","read policy")</f>
        <v/>
      </c>
    </row>
    <row r="331">
      <c r="A331" s="9" t="inlineStr">
        <is>
          <t>powersoft.in</t>
        </is>
      </c>
      <c r="B331" s="9" t="inlineStr">
        <is>
          <t>sme</t>
        </is>
      </c>
      <c r="C331" s="9" t="n">
        <v>1</v>
      </c>
      <c r="D331" s="10" t="inlineStr">
        <is>
          <t>The notice itemises the categories of personal data collected, in plain language.</t>
        </is>
      </c>
      <c r="E331" s="9" t="inlineStr">
        <is>
          <t>Rule 3; Act S.5</t>
        </is>
      </c>
      <c r="F331" s="9" t="inlineStr">
        <is>
          <t>yes</t>
        </is>
      </c>
      <c r="G331" s="9" t="inlineStr"/>
      <c r="H331" s="9" t="inlineStr"/>
      <c r="I331" s="11">
        <f>HYPERLINK("#'powersoft.in'!A1","read policy")</f>
        <v/>
      </c>
    </row>
    <row r="332">
      <c r="A332" s="9" t="inlineStr">
        <is>
          <t>powersoft.in</t>
        </is>
      </c>
      <c r="B332" s="9" t="inlineStr">
        <is>
          <t>sme</t>
        </is>
      </c>
      <c r="C332" s="9" t="n">
        <v>2</v>
      </c>
      <c r="D332" s="10" t="inlineStr">
        <is>
          <t>A specific purpose is stated for the data collected; generic 'business purposes' is only Partial.</t>
        </is>
      </c>
      <c r="E332" s="9" t="inlineStr">
        <is>
          <t>Rule 3; Act S.6</t>
        </is>
      </c>
      <c r="F332" s="9" t="inlineStr">
        <is>
          <t>yes</t>
        </is>
      </c>
      <c r="G332" s="9" t="inlineStr"/>
      <c r="H332" s="9" t="inlineStr"/>
      <c r="I332" s="11">
        <f>HYPERLINK("#'powersoft.in'!A1","read policy")</f>
        <v/>
      </c>
    </row>
    <row r="333">
      <c r="A333" s="9" t="inlineStr">
        <is>
          <t>powersoft.in</t>
        </is>
      </c>
      <c r="B333" s="9" t="inlineStr">
        <is>
          <t>sme</t>
        </is>
      </c>
      <c r="C333" s="9" t="n">
        <v>3</v>
      </c>
      <c r="D333" s="10" t="inlineStr">
        <is>
          <t>The notice is clear, plain-language and understandable on its own.</t>
        </is>
      </c>
      <c r="E333" s="9" t="inlineStr">
        <is>
          <t>Rule 3; Act S.5</t>
        </is>
      </c>
      <c r="F333" s="9" t="inlineStr">
        <is>
          <t>yes</t>
        </is>
      </c>
      <c r="G333" s="9" t="inlineStr"/>
      <c r="H333" s="9" t="inlineStr"/>
      <c r="I333" s="11">
        <f>HYPERLINK("#'powersoft.in'!A1","read policy")</f>
        <v/>
      </c>
    </row>
    <row r="334">
      <c r="A334" s="9" t="inlineStr">
        <is>
          <t>powersoft.in</t>
        </is>
      </c>
      <c r="B334" s="9" t="inlineStr">
        <is>
          <t>sme</t>
        </is>
      </c>
      <c r="C334" s="9" t="n">
        <v>4</v>
      </c>
      <c r="D334" s="10" t="inlineStr">
        <is>
          <t>Processing is on a stated lawful basis (consent or a legitimate use).</t>
        </is>
      </c>
      <c r="E334" s="9" t="inlineStr">
        <is>
          <t>Act S.4</t>
        </is>
      </c>
      <c r="F334" s="9" t="inlineStr">
        <is>
          <t>yes</t>
        </is>
      </c>
      <c r="G334" s="9" t="inlineStr"/>
      <c r="H334" s="9" t="inlineStr"/>
      <c r="I334" s="11">
        <f>HYPERLINK("#'powersoft.in'!A1","read policy")</f>
        <v/>
      </c>
    </row>
    <row r="335">
      <c r="A335" s="9" t="inlineStr">
        <is>
          <t>powersoft.in</t>
        </is>
      </c>
      <c r="B335" s="9" t="inlineStr">
        <is>
          <t>sme</t>
        </is>
      </c>
      <c r="C335" s="9" t="n">
        <v>5</v>
      </c>
      <c r="D335" s="10" t="inlineStr">
        <is>
          <t>Collection is limited to data necessary for the specified purpose (purpose/data limitation).</t>
        </is>
      </c>
      <c r="E335" s="9" t="inlineStr">
        <is>
          <t>Act S.6(1)</t>
        </is>
      </c>
      <c r="F335" s="9" t="inlineStr">
        <is>
          <t>yes</t>
        </is>
      </c>
      <c r="G335" s="9" t="inlineStr"/>
      <c r="H335" s="9" t="inlineStr"/>
      <c r="I335" s="11">
        <f>HYPERLINK("#'powersoft.in'!A1","read policy")</f>
        <v/>
      </c>
    </row>
    <row r="336">
      <c r="A336" s="9" t="inlineStr">
        <is>
          <t>powersoft.in</t>
        </is>
      </c>
      <c r="B336" s="9" t="inlineStr">
        <is>
          <t>sme</t>
        </is>
      </c>
      <c r="C336" s="9" t="n">
        <v>6</v>
      </c>
      <c r="D336" s="10" t="inlineStr">
        <is>
          <t>If legitimate uses are relied upon, they fall within the Act's Section 7 categories.</t>
        </is>
      </c>
      <c r="E336" s="9" t="inlineStr">
        <is>
          <t>Act S.7</t>
        </is>
      </c>
      <c r="F336" s="9" t="inlineStr">
        <is>
          <t>yes</t>
        </is>
      </c>
      <c r="G336" s="9" t="inlineStr"/>
      <c r="H336" s="9" t="inlineStr"/>
      <c r="I336" s="11">
        <f>HYPERLINK("#'powersoft.in'!A1","read policy")</f>
        <v/>
      </c>
    </row>
    <row r="337">
      <c r="A337" s="9" t="inlineStr">
        <is>
          <t>powersoft.in</t>
        </is>
      </c>
      <c r="B337" s="9" t="inlineStr">
        <is>
          <t>sme</t>
        </is>
      </c>
      <c r="C337" s="9" t="n">
        <v>7</v>
      </c>
      <c r="D337" s="10" t="inlineStr">
        <is>
          <t>A commitment to keep personal data accurate, complete and up to date.</t>
        </is>
      </c>
      <c r="E337" s="9" t="inlineStr">
        <is>
          <t>Act S.8(3)</t>
        </is>
      </c>
      <c r="F337" s="9" t="inlineStr">
        <is>
          <t>yes</t>
        </is>
      </c>
      <c r="G337" s="9" t="inlineStr"/>
      <c r="H337" s="9" t="inlineStr"/>
      <c r="I337" s="11">
        <f>HYPERLINK("#'powersoft.in'!A1","read policy")</f>
        <v/>
      </c>
    </row>
    <row r="338">
      <c r="A338" s="9" t="inlineStr">
        <is>
          <t>powersoft.in</t>
        </is>
      </c>
      <c r="B338" s="9" t="inlineStr">
        <is>
          <t>sme</t>
        </is>
      </c>
      <c r="C338" s="9" t="n">
        <v>8</v>
      </c>
      <c r="D338" s="10" t="inlineStr">
        <is>
          <t>A retention period, or an 'erase when the purpose ends' commitment, is stated.</t>
        </is>
      </c>
      <c r="E338" s="9" t="inlineStr">
        <is>
          <t>Rule 8; Act S.8(7)-(8)</t>
        </is>
      </c>
      <c r="F338" s="9" t="inlineStr">
        <is>
          <t>yes</t>
        </is>
      </c>
      <c r="G338" s="9" t="inlineStr"/>
      <c r="H338" s="9" t="inlineStr"/>
      <c r="I338" s="11">
        <f>HYPERLINK("#'powersoft.in'!A1","read policy")</f>
        <v/>
      </c>
    </row>
    <row r="339">
      <c r="A339" s="9" t="inlineStr">
        <is>
          <t>powersoft.in</t>
        </is>
      </c>
      <c r="B339" s="9" t="inlineStr">
        <is>
          <t>sme</t>
        </is>
      </c>
      <c r="C339" s="9" t="n">
        <v>9</v>
      </c>
      <c r="D339" s="10" t="inlineStr">
        <is>
          <t>Reasonable security safeguards (encryption, access control) are disclosed.</t>
        </is>
      </c>
      <c r="E339" s="9" t="inlineStr">
        <is>
          <t>Rule 6; Act S.8(5)</t>
        </is>
      </c>
      <c r="F339" s="9" t="inlineStr">
        <is>
          <t>yes</t>
        </is>
      </c>
      <c r="G339" s="9" t="inlineStr"/>
      <c r="H339" s="9" t="inlineStr"/>
      <c r="I339" s="11">
        <f>HYPERLINK("#'powersoft.in'!A1","read policy")</f>
        <v/>
      </c>
    </row>
    <row r="340">
      <c r="A340" s="9" t="inlineStr">
        <is>
          <t>powersoft.in</t>
        </is>
      </c>
      <c r="B340" s="9" t="inlineStr">
        <is>
          <t>sme</t>
        </is>
      </c>
      <c r="C340" s="9" t="n">
        <v>10</v>
      </c>
      <c r="D340" s="10" t="inlineStr">
        <is>
          <t>A commitment to notify affected users and the Board of a personal-data breach.</t>
        </is>
      </c>
      <c r="E340" s="9" t="inlineStr">
        <is>
          <t>Rule 7; Act S.8(6)</t>
        </is>
      </c>
      <c r="F340" s="9" t="inlineStr">
        <is>
          <t>yes</t>
        </is>
      </c>
      <c r="G340" s="9" t="inlineStr"/>
      <c r="H340" s="9" t="inlineStr"/>
      <c r="I340" s="11">
        <f>HYPERLINK("#'powersoft.in'!A1","read policy")</f>
        <v/>
      </c>
    </row>
    <row r="341">
      <c r="A341" s="9" t="inlineStr">
        <is>
          <t>powersoft.in</t>
        </is>
      </c>
      <c r="B341" s="9" t="inlineStr">
        <is>
          <t>sme</t>
        </is>
      </c>
      <c r="C341" s="9" t="n">
        <v>11</v>
      </c>
      <c r="D341" s="10" t="inlineStr">
        <is>
          <t>Withdrawal of consent is offered and is as easy as giving it, with a route stated.</t>
        </is>
      </c>
      <c r="E341" s="9" t="inlineStr">
        <is>
          <t>Rule 3; Act S.6(4)</t>
        </is>
      </c>
      <c r="F341" s="9" t="inlineStr">
        <is>
          <t>yes</t>
        </is>
      </c>
      <c r="G341" s="9" t="inlineStr"/>
      <c r="H341" s="9" t="inlineStr"/>
      <c r="I341" s="11">
        <f>HYPERLINK("#'powersoft.in'!A1","read policy")</f>
        <v/>
      </c>
    </row>
    <row r="342">
      <c r="A342" s="9" t="inlineStr">
        <is>
          <t>powersoft.in</t>
        </is>
      </c>
      <c r="B342" s="9" t="inlineStr">
        <is>
          <t>sme</t>
        </is>
      </c>
      <c r="C342" s="9" t="n">
        <v>12</v>
      </c>
      <c r="D342" s="10" t="inlineStr">
        <is>
          <t>Consent is a clear affirmative action, unbundled, not pre-ticked or implied.</t>
        </is>
      </c>
      <c r="E342" s="9" t="inlineStr">
        <is>
          <t>Act S.6</t>
        </is>
      </c>
      <c r="F342" s="9" t="inlineStr">
        <is>
          <t>yes</t>
        </is>
      </c>
      <c r="G342" s="9" t="inlineStr"/>
      <c r="H342" s="9" t="inlineStr"/>
      <c r="I342" s="11">
        <f>HYPERLINK("#'powersoft.in'!A1","read policy")</f>
        <v/>
      </c>
    </row>
    <row r="343">
      <c r="A343" s="9" t="inlineStr">
        <is>
          <t>powersoft.in</t>
        </is>
      </c>
      <c r="B343" s="9" t="inlineStr">
        <is>
          <t>sme</t>
        </is>
      </c>
      <c r="C343" s="9" t="n">
        <v>13</v>
      </c>
      <c r="D343" s="10" t="inlineStr">
        <is>
          <t>The Consent Manager route is acknowledged where relevant.</t>
        </is>
      </c>
      <c r="E343" s="9" t="inlineStr">
        <is>
          <t>Rule 4; Act S.6(7)</t>
        </is>
      </c>
      <c r="F343" s="9" t="inlineStr">
        <is>
          <t>yes</t>
        </is>
      </c>
      <c r="G343" s="9" t="inlineStr"/>
      <c r="H343" s="9" t="inlineStr"/>
      <c r="I343" s="11">
        <f>HYPERLINK("#'powersoft.in'!A1","read policy")</f>
        <v/>
      </c>
    </row>
    <row r="344">
      <c r="A344" s="9" t="inlineStr">
        <is>
          <t>powersoft.in</t>
        </is>
      </c>
      <c r="B344" s="9" t="inlineStr">
        <is>
          <t>sme</t>
        </is>
      </c>
      <c r="C344" s="9" t="n">
        <v>14</v>
      </c>
      <c r="D344" s="10" t="inlineStr">
        <is>
          <t>Users can review consent given / records of consent are maintained.</t>
        </is>
      </c>
      <c r="E344" s="9" t="inlineStr">
        <is>
          <t>Act S.6(6)</t>
        </is>
      </c>
      <c r="F344" s="9" t="inlineStr">
        <is>
          <t>yes</t>
        </is>
      </c>
      <c r="G344" s="9" t="inlineStr"/>
      <c r="H344" s="9" t="inlineStr"/>
      <c r="I344" s="11">
        <f>HYPERLINK("#'powersoft.in'!A1","read policy")</f>
        <v/>
      </c>
    </row>
    <row r="345">
      <c r="A345" s="9" t="inlineStr">
        <is>
          <t>powersoft.in</t>
        </is>
      </c>
      <c r="B345" s="9" t="inlineStr">
        <is>
          <t>sme</t>
        </is>
      </c>
      <c r="C345" s="9" t="n">
        <v>15</v>
      </c>
      <c r="D345" s="10" t="inlineStr">
        <is>
          <t>Verifiable parental consent for under-18s, and no tracking, behavioural monitoring or targeted ads to children.</t>
        </is>
      </c>
      <c r="E345" s="9" t="inlineStr">
        <is>
          <t>Act S.9</t>
        </is>
      </c>
      <c r="F345" s="9" t="inlineStr">
        <is>
          <t>yes</t>
        </is>
      </c>
      <c r="G345" s="9" t="inlineStr"/>
      <c r="H345" s="9" t="inlineStr"/>
      <c r="I345" s="11">
        <f>HYPERLINK("#'powersoft.in'!A1","read policy")</f>
        <v/>
      </c>
    </row>
    <row r="346">
      <c r="A346" s="9" t="inlineStr">
        <is>
          <t>powersoft.in</t>
        </is>
      </c>
      <c r="B346" s="9" t="inlineStr">
        <is>
          <t>sme</t>
        </is>
      </c>
      <c r="C346" s="9" t="n">
        <v>16</v>
      </c>
      <c r="D346" s="10" t="inlineStr">
        <is>
          <t>The right to access a summary of personal data being processed is disclosed.</t>
        </is>
      </c>
      <c r="E346" s="9" t="inlineStr">
        <is>
          <t>Act S.11</t>
        </is>
      </c>
      <c r="F346" s="9" t="inlineStr">
        <is>
          <t>yes</t>
        </is>
      </c>
      <c r="G346" s="9" t="inlineStr"/>
      <c r="H346" s="9" t="inlineStr"/>
      <c r="I346" s="11">
        <f>HYPERLINK("#'powersoft.in'!A1","read policy")</f>
        <v/>
      </c>
    </row>
    <row r="347">
      <c r="A347" s="9" t="inlineStr">
        <is>
          <t>powersoft.in</t>
        </is>
      </c>
      <c r="B347" s="9" t="inlineStr">
        <is>
          <t>sme</t>
        </is>
      </c>
      <c r="C347" s="9" t="n">
        <v>17</v>
      </c>
      <c r="D347" s="10" t="inlineStr">
        <is>
          <t>The right to correction of personal data is disclosed.</t>
        </is>
      </c>
      <c r="E347" s="9" t="inlineStr">
        <is>
          <t>Act S.12</t>
        </is>
      </c>
      <c r="F347" s="9" t="inlineStr">
        <is>
          <t>yes</t>
        </is>
      </c>
      <c r="G347" s="9" t="inlineStr"/>
      <c r="H347" s="9" t="inlineStr"/>
      <c r="I347" s="11">
        <f>HYPERLINK("#'powersoft.in'!A1","read policy")</f>
        <v/>
      </c>
    </row>
    <row r="348">
      <c r="A348" s="9" t="inlineStr">
        <is>
          <t>powersoft.in</t>
        </is>
      </c>
      <c r="B348" s="9" t="inlineStr">
        <is>
          <t>sme</t>
        </is>
      </c>
      <c r="C348" s="9" t="n">
        <v>18</v>
      </c>
      <c r="D348" s="10" t="inlineStr">
        <is>
          <t>The right to erasure of personal data is disclosed.</t>
        </is>
      </c>
      <c r="E348" s="9" t="inlineStr">
        <is>
          <t>Act S.12</t>
        </is>
      </c>
      <c r="F348" s="9" t="inlineStr">
        <is>
          <t>yes</t>
        </is>
      </c>
      <c r="G348" s="9" t="inlineStr"/>
      <c r="H348" s="9" t="inlineStr"/>
      <c r="I348" s="11">
        <f>HYPERLINK("#'powersoft.in'!A1","read policy")</f>
        <v/>
      </c>
    </row>
    <row r="349">
      <c r="A349" s="9" t="inlineStr">
        <is>
          <t>powersoft.in</t>
        </is>
      </c>
      <c r="B349" s="9" t="inlineStr">
        <is>
          <t>sme</t>
        </is>
      </c>
      <c r="C349" s="9" t="n">
        <v>19</v>
      </c>
      <c r="D349" s="10" t="inlineStr">
        <is>
          <t>A readily available grievance-redressal route is disclosed.</t>
        </is>
      </c>
      <c r="E349" s="9" t="inlineStr">
        <is>
          <t>Act S.13</t>
        </is>
      </c>
      <c r="F349" s="9" t="inlineStr">
        <is>
          <t>yes</t>
        </is>
      </c>
      <c r="G349" s="9" t="inlineStr"/>
      <c r="H349" s="9" t="inlineStr"/>
      <c r="I349" s="11">
        <f>HYPERLINK("#'powersoft.in'!A1","read policy")</f>
        <v/>
      </c>
    </row>
    <row r="350">
      <c r="A350" s="9" t="inlineStr">
        <is>
          <t>powersoft.in</t>
        </is>
      </c>
      <c r="B350" s="9" t="inlineStr">
        <is>
          <t>sme</t>
        </is>
      </c>
      <c r="C350" s="9" t="n">
        <v>20</v>
      </c>
      <c r="D350" s="10" t="inlineStr">
        <is>
          <t>The right to nominate is disclosed.</t>
        </is>
      </c>
      <c r="E350" s="9" t="inlineStr">
        <is>
          <t>Act S.14</t>
        </is>
      </c>
      <c r="F350" s="9" t="inlineStr">
        <is>
          <t>yes</t>
        </is>
      </c>
      <c r="G350" s="9" t="inlineStr"/>
      <c r="H350" s="9" t="inlineStr"/>
      <c r="I350" s="11">
        <f>HYPERLINK("#'powersoft.in'!A1","read policy")</f>
        <v/>
      </c>
    </row>
    <row r="351">
      <c r="A351" s="9" t="inlineStr">
        <is>
          <t>powersoft.in</t>
        </is>
      </c>
      <c r="B351" s="9" t="inlineStr">
        <is>
          <t>sme</t>
        </is>
      </c>
      <c r="C351" s="9" t="n">
        <v>21</v>
      </c>
      <c r="D351" s="10" t="inlineStr">
        <is>
          <t>A reachable grievance officer or business contact for data queries is published.</t>
        </is>
      </c>
      <c r="E351" s="9" t="inlineStr">
        <is>
          <t>Act S.8(9)-(10), S.13</t>
        </is>
      </c>
      <c r="F351" s="9" t="inlineStr">
        <is>
          <t>yes</t>
        </is>
      </c>
      <c r="G351" s="9" t="inlineStr"/>
      <c r="H351" s="9" t="inlineStr"/>
      <c r="I351" s="11">
        <f>HYPERLINK("#'powersoft.in'!A1","read policy")</f>
        <v/>
      </c>
    </row>
    <row r="352">
      <c r="A352" s="9" t="inlineStr">
        <is>
          <t>powersoft.in</t>
        </is>
      </c>
      <c r="B352" s="9" t="inlineStr">
        <is>
          <t>sme</t>
        </is>
      </c>
      <c r="C352" s="9" t="n">
        <v>22</v>
      </c>
      <c r="D352" s="10" t="inlineStr">
        <is>
          <t>A Data Protection Officer is appointed and published (Significant Data Fiduciary).</t>
        </is>
      </c>
      <c r="E352" s="9" t="inlineStr">
        <is>
          <t>Rule 13; Act S.10</t>
        </is>
      </c>
      <c r="F352" s="9" t="inlineStr">
        <is>
          <t>yes</t>
        </is>
      </c>
      <c r="G352" s="9" t="inlineStr"/>
      <c r="H352" s="9" t="inlineStr"/>
      <c r="I352" s="11">
        <f>HYPERLINK("#'powersoft.in'!A1","read policy")</f>
        <v/>
      </c>
    </row>
    <row r="353">
      <c r="A353" s="9" t="inlineStr">
        <is>
          <t>powersoft.in</t>
        </is>
      </c>
      <c r="B353" s="9" t="inlineStr">
        <is>
          <t>sme</t>
        </is>
      </c>
      <c r="C353" s="9" t="n">
        <v>23</v>
      </c>
      <c r="D353" s="10" t="inlineStr">
        <is>
          <t>Processors engaged only under a valid contract.</t>
        </is>
      </c>
      <c r="E353" s="9" t="inlineStr">
        <is>
          <t>Act S.8(2)</t>
        </is>
      </c>
      <c r="F353" s="9" t="inlineStr">
        <is>
          <t>yes</t>
        </is>
      </c>
      <c r="G353" s="9" t="inlineStr"/>
      <c r="H353" s="9" t="inlineStr"/>
      <c r="I353" s="11">
        <f>HYPERLINK("#'powersoft.in'!A1","read policy")</f>
        <v/>
      </c>
    </row>
    <row r="354">
      <c r="A354" s="9" t="inlineStr">
        <is>
          <t>powersoft.in</t>
        </is>
      </c>
      <c r="B354" s="9" t="inlineStr">
        <is>
          <t>sme</t>
        </is>
      </c>
      <c r="C354" s="9" t="n">
        <v>24</v>
      </c>
      <c r="D354" s="10" t="inlineStr">
        <is>
          <t>Third parties / recipients of data sharing are disclosed.</t>
        </is>
      </c>
      <c r="E354" s="9" t="inlineStr">
        <is>
          <t>Act S.8(2)</t>
        </is>
      </c>
      <c r="F354" s="9" t="inlineStr">
        <is>
          <t>yes</t>
        </is>
      </c>
      <c r="G354" s="9" t="inlineStr"/>
      <c r="H354" s="9" t="inlineStr"/>
      <c r="I354" s="11">
        <f>HYPERLINK("#'powersoft.in'!A1","read policy")</f>
        <v/>
      </c>
    </row>
    <row r="355">
      <c r="A355" s="9" t="inlineStr">
        <is>
          <t>powersoft.in</t>
        </is>
      </c>
      <c r="B355" s="9" t="inlineStr">
        <is>
          <t>sme</t>
        </is>
      </c>
      <c r="C355" s="9" t="n">
        <v>25</v>
      </c>
      <c r="D355" s="10" t="inlineStr">
        <is>
          <t>Sub-processor oversight is addressed.</t>
        </is>
      </c>
      <c r="E355" s="9" t="inlineStr">
        <is>
          <t>Rule 6; Act S.8(2)</t>
        </is>
      </c>
      <c r="F355" s="9" t="inlineStr">
        <is>
          <t>yes</t>
        </is>
      </c>
      <c r="G355" s="9" t="inlineStr"/>
      <c r="H355" s="9" t="inlineStr"/>
      <c r="I355" s="11">
        <f>HYPERLINK("#'powersoft.in'!A1","read policy")</f>
        <v/>
      </c>
    </row>
    <row r="356">
      <c r="A356" s="9" t="inlineStr">
        <is>
          <t>powersoft.in</t>
        </is>
      </c>
      <c r="B356" s="9" t="inlineStr">
        <is>
          <t>sme</t>
        </is>
      </c>
      <c r="C356" s="9" t="n">
        <v>26</v>
      </c>
      <c r="D356" s="10" t="inlineStr">
        <is>
          <t>Security obligations flow down to processors.</t>
        </is>
      </c>
      <c r="E356" s="9" t="inlineStr">
        <is>
          <t>Rule 6; Act S.8(2)</t>
        </is>
      </c>
      <c r="F356" s="9" t="inlineStr">
        <is>
          <t>yes</t>
        </is>
      </c>
      <c r="G356" s="9" t="inlineStr"/>
      <c r="H356" s="9" t="inlineStr"/>
      <c r="I356" s="11">
        <f>HYPERLINK("#'powersoft.in'!A1","read policy")</f>
        <v/>
      </c>
    </row>
    <row r="357">
      <c r="A357" s="9" t="inlineStr">
        <is>
          <t>powersoft.in</t>
        </is>
      </c>
      <c r="B357" s="9" t="inlineStr">
        <is>
          <t>sme</t>
        </is>
      </c>
      <c r="C357" s="9" t="n">
        <v>27</v>
      </c>
      <c r="D357" s="10" t="inlineStr">
        <is>
          <t>Transfers of personal data outside India are disclosed.</t>
        </is>
      </c>
      <c r="E357" s="9" t="inlineStr">
        <is>
          <t>Act S.16</t>
        </is>
      </c>
      <c r="F357" s="9" t="inlineStr">
        <is>
          <t>yes</t>
        </is>
      </c>
      <c r="G357" s="9" t="inlineStr"/>
      <c r="H357" s="9" t="inlineStr"/>
      <c r="I357" s="11">
        <f>HYPERLINK("#'powersoft.in'!A1","read policy")</f>
        <v/>
      </c>
    </row>
    <row r="358">
      <c r="A358" s="9" t="inlineStr">
        <is>
          <t>powersoft.in</t>
        </is>
      </c>
      <c r="B358" s="9" t="inlineStr">
        <is>
          <t>sme</t>
        </is>
      </c>
      <c r="C358" s="9" t="n">
        <v>28</v>
      </c>
      <c r="D358" s="10" t="inlineStr">
        <is>
          <t>Compliance with any restricted-country notification is addressed.</t>
        </is>
      </c>
      <c r="E358" s="9" t="inlineStr">
        <is>
          <t>Act S.16</t>
        </is>
      </c>
      <c r="F358" s="9" t="inlineStr">
        <is>
          <t>yes</t>
        </is>
      </c>
      <c r="G358" s="9" t="inlineStr"/>
      <c r="H358" s="9" t="inlineStr"/>
      <c r="I358" s="11">
        <f>HYPERLINK("#'powersoft.in'!A1","read policy")</f>
        <v/>
      </c>
    </row>
    <row r="359">
      <c r="A359" s="9" t="inlineStr">
        <is>
          <t>powersoft.in</t>
        </is>
      </c>
      <c r="B359" s="9" t="inlineStr">
        <is>
          <t>sme</t>
        </is>
      </c>
      <c r="C359" s="9" t="n">
        <v>29</v>
      </c>
      <c r="D359" s="10" t="inlineStr">
        <is>
          <t>Data storage location is disclosed.</t>
        </is>
      </c>
      <c r="E359" s="9" t="inlineStr">
        <is>
          <t>Act S.16</t>
        </is>
      </c>
      <c r="F359" s="9" t="inlineStr">
        <is>
          <t>yes</t>
        </is>
      </c>
      <c r="G359" s="9" t="inlineStr"/>
      <c r="H359" s="9" t="inlineStr"/>
      <c r="I359" s="11">
        <f>HYPERLINK("#'powersoft.in'!A1","read policy")</f>
        <v/>
      </c>
    </row>
    <row r="360">
      <c r="A360" s="9" t="inlineStr">
        <is>
          <t>powersoft.in</t>
        </is>
      </c>
      <c r="B360" s="9" t="inlineStr">
        <is>
          <t>sme</t>
        </is>
      </c>
      <c r="C360" s="9" t="n">
        <v>30</v>
      </c>
      <c r="D360" s="10" t="inlineStr">
        <is>
          <t>A Data Protection Impact Assessment is undertaken (Significant Data Fiduciary).</t>
        </is>
      </c>
      <c r="E360" s="9" t="inlineStr">
        <is>
          <t>Rule 13; Act S.10</t>
        </is>
      </c>
      <c r="F360" s="9" t="inlineStr">
        <is>
          <t>yes</t>
        </is>
      </c>
      <c r="G360" s="9" t="inlineStr"/>
      <c r="H360" s="9" t="inlineStr"/>
      <c r="I360" s="11">
        <f>HYPERLINK("#'powersoft.in'!A1","read policy")</f>
        <v/>
      </c>
    </row>
    <row r="361">
      <c r="A361" s="9" t="inlineStr">
        <is>
          <t>powersoft.in</t>
        </is>
      </c>
      <c r="B361" s="9" t="inlineStr">
        <is>
          <t>sme</t>
        </is>
      </c>
      <c r="C361" s="9" t="n">
        <v>31</v>
      </c>
      <c r="D361" s="10" t="inlineStr">
        <is>
          <t>Privacy by design and periodic audit are addressed.</t>
        </is>
      </c>
      <c r="E361" s="9" t="inlineStr">
        <is>
          <t>Rule 13; Act S.8</t>
        </is>
      </c>
      <c r="F361" s="9" t="inlineStr">
        <is>
          <t>yes</t>
        </is>
      </c>
      <c r="G361" s="9" t="inlineStr"/>
      <c r="H361" s="9" t="inlineStr"/>
      <c r="I361" s="11">
        <f>HYPERLINK("#'powersoft.in'!A1","read policy")</f>
        <v/>
      </c>
    </row>
    <row r="362">
      <c r="A362" s="9" t="inlineStr">
        <is>
          <t>powersoft.in</t>
        </is>
      </c>
      <c r="B362" s="9" t="inlineStr">
        <is>
          <t>sme</t>
        </is>
      </c>
      <c r="C362" s="9" t="n">
        <v>32</v>
      </c>
      <c r="D362" s="10" t="inlineStr">
        <is>
          <t>Data-minimisation measures by design are addressed.</t>
        </is>
      </c>
      <c r="E362" s="9" t="inlineStr">
        <is>
          <t>Act S.8</t>
        </is>
      </c>
      <c r="F362" s="9" t="inlineStr">
        <is>
          <t>yes</t>
        </is>
      </c>
      <c r="G362" s="9" t="inlineStr"/>
      <c r="H362" s="9" t="inlineStr"/>
      <c r="I362" s="11">
        <f>HYPERLINK("#'powersoft.in'!A1","read policy")</f>
        <v/>
      </c>
    </row>
    <row r="363">
      <c r="A363" s="9" t="inlineStr">
        <is>
          <t>powersoft.in</t>
        </is>
      </c>
      <c r="B363" s="9" t="inlineStr">
        <is>
          <t>sme</t>
        </is>
      </c>
      <c r="C363" s="9" t="n">
        <v>33</v>
      </c>
      <c r="D363" s="10" t="inlineStr">
        <is>
          <t>A published privacy policy exists and is reachable.</t>
        </is>
      </c>
      <c r="E363" s="9" t="inlineStr">
        <is>
          <t>Rule 3; Act S.5</t>
        </is>
      </c>
      <c r="F363" s="9" t="inlineStr">
        <is>
          <t>yes</t>
        </is>
      </c>
      <c r="G363" s="9" t="inlineStr"/>
      <c r="H363" s="9" t="inlineStr"/>
      <c r="I363" s="11">
        <f>HYPERLINK("#'powersoft.in'!A1","read policy")</f>
        <v/>
      </c>
    </row>
    <row r="364">
      <c r="A364" s="9" t="inlineStr">
        <is>
          <t>powersoft.in</t>
        </is>
      </c>
      <c r="B364" s="9" t="inlineStr">
        <is>
          <t>sme</t>
        </is>
      </c>
      <c r="C364" s="9" t="n">
        <v>34</v>
      </c>
      <c r="D364" s="10" t="inlineStr">
        <is>
          <t>A cookie policy / tracker disclosure is published.</t>
        </is>
      </c>
      <c r="E364" s="9" t="inlineStr">
        <is>
          <t>Rule 3; Act S.5</t>
        </is>
      </c>
      <c r="F364" s="9" t="inlineStr">
        <is>
          <t>yes</t>
        </is>
      </c>
      <c r="G364" s="9" t="inlineStr"/>
      <c r="H364" s="9" t="inlineStr"/>
      <c r="I364" s="11">
        <f>HYPERLINK("#'powersoft.in'!A1","read policy")</f>
        <v/>
      </c>
    </row>
    <row r="365">
      <c r="A365" s="9" t="inlineStr">
        <is>
          <t>powersoft.in</t>
        </is>
      </c>
      <c r="B365" s="9" t="inlineStr">
        <is>
          <t>sme</t>
        </is>
      </c>
      <c r="C365" s="9" t="n">
        <v>35</v>
      </c>
      <c r="D365" s="10" t="inlineStr">
        <is>
          <t>Terms of service are published.</t>
        </is>
      </c>
      <c r="E365" s="9" t="inlineStr">
        <is>
          <t>Act S.5</t>
        </is>
      </c>
      <c r="F365" s="9" t="inlineStr">
        <is>
          <t>yes</t>
        </is>
      </c>
      <c r="G365" s="9" t="inlineStr"/>
      <c r="H365" s="9" t="inlineStr"/>
      <c r="I365" s="11">
        <f>HYPERLINK("#'powersoft.in'!A1","read policy")</f>
        <v/>
      </c>
    </row>
    <row r="366">
      <c r="A366" s="9" t="inlineStr">
        <is>
          <t>powersoft.in</t>
        </is>
      </c>
      <c r="B366" s="9" t="inlineStr">
        <is>
          <t>sme</t>
        </is>
      </c>
      <c r="C366" s="9" t="n">
        <v>36</v>
      </c>
      <c r="D366" s="10" t="inlineStr">
        <is>
          <t>Notice is available in an accessible form (and Indian languages where relevant).</t>
        </is>
      </c>
      <c r="E366" s="9" t="inlineStr">
        <is>
          <t>Rule 3; Act S.5</t>
        </is>
      </c>
      <c r="F366" s="9" t="inlineStr">
        <is>
          <t>yes</t>
        </is>
      </c>
      <c r="G366" s="9" t="inlineStr"/>
      <c r="H366" s="9" t="inlineStr"/>
      <c r="I366" s="11">
        <f>HYPERLINK("#'powersoft.in'!A1","read policy")</f>
        <v/>
      </c>
    </row>
    <row r="367">
      <c r="A367" s="9" t="inlineStr">
        <is>
          <t>powersoft.in</t>
        </is>
      </c>
      <c r="B367" s="9" t="inlineStr">
        <is>
          <t>sme</t>
        </is>
      </c>
      <c r="C367" s="9" t="n">
        <v>37</v>
      </c>
      <c r="D367" s="10" t="inlineStr">
        <is>
          <t>Registered office / entity contact details are published.</t>
        </is>
      </c>
      <c r="E367" s="9" t="inlineStr">
        <is>
          <t>Act S.8(9)</t>
        </is>
      </c>
      <c r="F367" s="9" t="inlineStr">
        <is>
          <t>yes</t>
        </is>
      </c>
      <c r="G367" s="9" t="inlineStr"/>
      <c r="H367" s="9" t="inlineStr"/>
      <c r="I367" s="11">
        <f>HYPERLINK("#'powersoft.in'!A1","read policy")</f>
        <v/>
      </c>
    </row>
    <row r="368">
      <c r="A368" s="9" t="inlineStr">
        <is>
          <t>powersoft.in</t>
        </is>
      </c>
      <c r="B368" s="9" t="inlineStr">
        <is>
          <t>sme</t>
        </is>
      </c>
      <c r="C368" s="9" t="n">
        <v>38</v>
      </c>
      <c r="D368" s="10" t="inlineStr">
        <is>
          <t>The site serves over HTTPS (encryption in transit).</t>
        </is>
      </c>
      <c r="E368" s="9" t="inlineStr">
        <is>
          <t>Rule 6; Act S.8(5)</t>
        </is>
      </c>
      <c r="F368" s="9" t="inlineStr">
        <is>
          <t>yes</t>
        </is>
      </c>
      <c r="G368" s="9" t="inlineStr"/>
      <c r="H368" s="9" t="inlineStr"/>
      <c r="I368" s="11">
        <f>HYPERLINK("#'powersoft.in'!A1","read policy")</f>
        <v/>
      </c>
    </row>
    <row r="369">
      <c r="A369" s="9" t="inlineStr">
        <is>
          <t>powersoft.in</t>
        </is>
      </c>
      <c r="B369" s="9" t="inlineStr">
        <is>
          <t>sme</t>
        </is>
      </c>
      <c r="C369" s="9" t="n">
        <v>39</v>
      </c>
      <c r="D369" s="10" t="inlineStr">
        <is>
          <t>Encryption at rest is disclosed.</t>
        </is>
      </c>
      <c r="E369" s="9" t="inlineStr">
        <is>
          <t>Rule 6; Act S.8(5)</t>
        </is>
      </c>
      <c r="F369" s="9" t="inlineStr">
        <is>
          <t>yes</t>
        </is>
      </c>
      <c r="G369" s="9" t="inlineStr"/>
      <c r="H369" s="9" t="inlineStr"/>
      <c r="I369" s="11">
        <f>HYPERLINK("#'powersoft.in'!A1","read policy")</f>
        <v/>
      </c>
    </row>
    <row r="370">
      <c r="A370" s="9" t="inlineStr">
        <is>
          <t>powersoft.in</t>
        </is>
      </c>
      <c r="B370" s="9" t="inlineStr">
        <is>
          <t>sme</t>
        </is>
      </c>
      <c r="C370" s="9" t="n">
        <v>40</v>
      </c>
      <c r="D370" s="10" t="inlineStr">
        <is>
          <t>Access controls and logging are disclosed.</t>
        </is>
      </c>
      <c r="E370" s="9" t="inlineStr">
        <is>
          <t>Rule 6; Act S.8(5)</t>
        </is>
      </c>
      <c r="F370" s="9" t="inlineStr">
        <is>
          <t>yes</t>
        </is>
      </c>
      <c r="G370" s="9" t="inlineStr"/>
      <c r="H370" s="9" t="inlineStr"/>
      <c r="I370" s="11">
        <f>HYPERLINK("#'powersoft.in'!A1","read policy")</f>
        <v/>
      </c>
    </row>
    <row r="371">
      <c r="A371" s="9" t="inlineStr">
        <is>
          <t>powersoft.in</t>
        </is>
      </c>
      <c r="B371" s="9" t="inlineStr">
        <is>
          <t>sme</t>
        </is>
      </c>
      <c r="C371" s="9" t="n">
        <v>41</v>
      </c>
      <c r="D371" s="10" t="inlineStr">
        <is>
          <t>An internal data-protection policy / governance is in place.</t>
        </is>
      </c>
      <c r="E371" s="9" t="inlineStr">
        <is>
          <t>Act S.8</t>
        </is>
      </c>
      <c r="F371" s="9" t="inlineStr">
        <is>
          <t>yes</t>
        </is>
      </c>
      <c r="G371" s="9" t="inlineStr"/>
      <c r="H371" s="9" t="inlineStr"/>
      <c r="I371" s="11">
        <f>HYPERLINK("#'powersoft.in'!A1","read policy")</f>
        <v/>
      </c>
    </row>
    <row r="372">
      <c r="A372" s="9" t="inlineStr">
        <is>
          <t>powersoft.in</t>
        </is>
      </c>
      <c r="B372" s="9" t="inlineStr">
        <is>
          <t>sme</t>
        </is>
      </c>
      <c r="C372" s="9" t="n">
        <v>42</v>
      </c>
      <c r="D372" s="10" t="inlineStr">
        <is>
          <t>Staff are trained on data protection.</t>
        </is>
      </c>
      <c r="E372" s="9" t="inlineStr">
        <is>
          <t>Act Rule 13</t>
        </is>
      </c>
      <c r="F372" s="9" t="inlineStr">
        <is>
          <t>yes</t>
        </is>
      </c>
      <c r="G372" s="9" t="inlineStr"/>
      <c r="H372" s="9" t="inlineStr"/>
      <c r="I372" s="11">
        <f>HYPERLINK("#'powersoft.in'!A1","read policy")</f>
        <v/>
      </c>
    </row>
    <row r="373">
      <c r="A373" s="9" t="inlineStr">
        <is>
          <t>powersoft.in</t>
        </is>
      </c>
      <c r="B373" s="9" t="inlineStr">
        <is>
          <t>sme</t>
        </is>
      </c>
      <c r="C373" s="9" t="n">
        <v>43</v>
      </c>
      <c r="D373" s="10" t="inlineStr">
        <is>
          <t>Records of processing activities are maintained.</t>
        </is>
      </c>
      <c r="E373" s="9" t="inlineStr">
        <is>
          <t>Act S.8</t>
        </is>
      </c>
      <c r="F373" s="9" t="inlineStr">
        <is>
          <t>yes</t>
        </is>
      </c>
      <c r="G373" s="9" t="inlineStr"/>
      <c r="H373" s="9" t="inlineStr"/>
      <c r="I373" s="11">
        <f>HYPERLINK("#'powersoft.in'!A1","read policy")</f>
        <v/>
      </c>
    </row>
    <row r="374">
      <c r="A374" s="9" t="inlineStr">
        <is>
          <t>powersoft.in</t>
        </is>
      </c>
      <c r="B374" s="9" t="inlineStr">
        <is>
          <t>sme</t>
        </is>
      </c>
      <c r="C374" s="9" t="n">
        <v>44</v>
      </c>
      <c r="D374" s="10" t="inlineStr">
        <is>
          <t>An incident-response plan exists.</t>
        </is>
      </c>
      <c r="E374" s="9" t="inlineStr">
        <is>
          <t>Rule 7; Act S.8(6)</t>
        </is>
      </c>
      <c r="F374" s="9" t="inlineStr">
        <is>
          <t>yes</t>
        </is>
      </c>
      <c r="G374" s="9" t="inlineStr"/>
      <c r="H374" s="9" t="inlineStr"/>
      <c r="I374" s="11">
        <f>HYPERLINK("#'powersoft.in'!A1","read policy")</f>
        <v/>
      </c>
    </row>
    <row r="375">
      <c r="A375" s="9" t="inlineStr">
        <is>
          <t>powersoft.in</t>
        </is>
      </c>
      <c r="B375" s="9" t="inlineStr">
        <is>
          <t>sme</t>
        </is>
      </c>
      <c r="C375" s="9" t="n">
        <v>45</v>
      </c>
      <c r="D375" s="10" t="inlineStr">
        <is>
          <t>Vendor / third-party risk management is addressed.</t>
        </is>
      </c>
      <c r="E375" s="9" t="inlineStr">
        <is>
          <t>Act Rule 6</t>
        </is>
      </c>
      <c r="F375" s="9" t="inlineStr">
        <is>
          <t>yes</t>
        </is>
      </c>
      <c r="G375" s="9" t="inlineStr"/>
      <c r="H375" s="9" t="inlineStr"/>
      <c r="I375" s="11">
        <f>HYPERLINK("#'powersoft.in'!A1","read policy")</f>
        <v/>
      </c>
    </row>
    <row r="376">
      <c r="A376" s="9" t="inlineStr">
        <is>
          <t>powersoft.in</t>
        </is>
      </c>
      <c r="B376" s="9" t="inlineStr">
        <is>
          <t>sme</t>
        </is>
      </c>
      <c r="C376" s="9" t="n">
        <v>46</v>
      </c>
      <c r="D376" s="10" t="inlineStr">
        <is>
          <t>Significant-Data-Fiduciary obligations / Board reporting are addressed where applicable.</t>
        </is>
      </c>
      <c r="E376" s="9" t="inlineStr">
        <is>
          <t>Rule 13; Act S.10</t>
        </is>
      </c>
      <c r="F376" s="9" t="inlineStr">
        <is>
          <t>yes</t>
        </is>
      </c>
      <c r="G376" s="9" t="inlineStr"/>
      <c r="H376" s="9" t="inlineStr"/>
      <c r="I376" s="11">
        <f>HYPERLINK("#'powersoft.in'!A1","read policy")</f>
        <v/>
      </c>
    </row>
    <row r="377">
      <c r="A377" s="9" t="inlineStr">
        <is>
          <t>powersoft.in</t>
        </is>
      </c>
      <c r="B377" s="9" t="inlineStr">
        <is>
          <t>sme</t>
        </is>
      </c>
      <c r="C377" s="9" t="n">
        <v>47</v>
      </c>
      <c r="D377" s="10" t="inlineStr">
        <is>
          <t>A periodic compliance review / audit is performed.</t>
        </is>
      </c>
      <c r="E377" s="9" t="inlineStr">
        <is>
          <t>Act Rule 13</t>
        </is>
      </c>
      <c r="F377" s="9" t="inlineStr">
        <is>
          <t>yes</t>
        </is>
      </c>
      <c r="G377" s="9" t="inlineStr"/>
      <c r="H377" s="9" t="inlineStr"/>
      <c r="I377" s="11">
        <f>HYPERLINK("#'powersoft.in'!A1","read policy")</f>
        <v/>
      </c>
    </row>
    <row r="378">
      <c r="A378" s="6" t="inlineStr">
        <is>
          <t>robu.in</t>
        </is>
      </c>
      <c r="B378" s="6" t="inlineStr">
        <is>
          <t>sme</t>
        </is>
      </c>
      <c r="C378" s="6" t="n">
        <v>1</v>
      </c>
      <c r="D378" s="7" t="inlineStr">
        <is>
          <t>The notice itemises the categories of personal data collected, in plain language.</t>
        </is>
      </c>
      <c r="E378" s="6" t="inlineStr">
        <is>
          <t>Rule 3; Act S.5</t>
        </is>
      </c>
      <c r="F378" s="6" t="inlineStr">
        <is>
          <t>yes</t>
        </is>
      </c>
      <c r="G378" s="6" t="inlineStr"/>
      <c r="H378" s="6" t="inlineStr"/>
      <c r="I378" s="8">
        <f>HYPERLINK("#'robu.in'!A1","read policy")</f>
        <v/>
      </c>
    </row>
    <row r="379">
      <c r="A379" s="6" t="inlineStr">
        <is>
          <t>robu.in</t>
        </is>
      </c>
      <c r="B379" s="6" t="inlineStr">
        <is>
          <t>sme</t>
        </is>
      </c>
      <c r="C379" s="6" t="n">
        <v>2</v>
      </c>
      <c r="D379" s="7" t="inlineStr">
        <is>
          <t>A specific purpose is stated for the data collected; generic 'business purposes' is only Partial.</t>
        </is>
      </c>
      <c r="E379" s="6" t="inlineStr">
        <is>
          <t>Rule 3; Act S.6</t>
        </is>
      </c>
      <c r="F379" s="6" t="inlineStr">
        <is>
          <t>yes</t>
        </is>
      </c>
      <c r="G379" s="6" t="inlineStr"/>
      <c r="H379" s="6" t="inlineStr"/>
      <c r="I379" s="8">
        <f>HYPERLINK("#'robu.in'!A1","read policy")</f>
        <v/>
      </c>
    </row>
    <row r="380">
      <c r="A380" s="6" t="inlineStr">
        <is>
          <t>robu.in</t>
        </is>
      </c>
      <c r="B380" s="6" t="inlineStr">
        <is>
          <t>sme</t>
        </is>
      </c>
      <c r="C380" s="6" t="n">
        <v>3</v>
      </c>
      <c r="D380" s="7" t="inlineStr">
        <is>
          <t>The notice is clear, plain-language and understandable on its own.</t>
        </is>
      </c>
      <c r="E380" s="6" t="inlineStr">
        <is>
          <t>Rule 3; Act S.5</t>
        </is>
      </c>
      <c r="F380" s="6" t="inlineStr">
        <is>
          <t>yes</t>
        </is>
      </c>
      <c r="G380" s="6" t="inlineStr"/>
      <c r="H380" s="6" t="inlineStr"/>
      <c r="I380" s="8">
        <f>HYPERLINK("#'robu.in'!A1","read policy")</f>
        <v/>
      </c>
    </row>
    <row r="381">
      <c r="A381" s="6" t="inlineStr">
        <is>
          <t>robu.in</t>
        </is>
      </c>
      <c r="B381" s="6" t="inlineStr">
        <is>
          <t>sme</t>
        </is>
      </c>
      <c r="C381" s="6" t="n">
        <v>4</v>
      </c>
      <c r="D381" s="7" t="inlineStr">
        <is>
          <t>Processing is on a stated lawful basis (consent or a legitimate use).</t>
        </is>
      </c>
      <c r="E381" s="6" t="inlineStr">
        <is>
          <t>Act S.4</t>
        </is>
      </c>
      <c r="F381" s="6" t="inlineStr">
        <is>
          <t>yes</t>
        </is>
      </c>
      <c r="G381" s="6" t="inlineStr"/>
      <c r="H381" s="6" t="inlineStr"/>
      <c r="I381" s="8">
        <f>HYPERLINK("#'robu.in'!A1","read policy")</f>
        <v/>
      </c>
    </row>
    <row r="382">
      <c r="A382" s="6" t="inlineStr">
        <is>
          <t>robu.in</t>
        </is>
      </c>
      <c r="B382" s="6" t="inlineStr">
        <is>
          <t>sme</t>
        </is>
      </c>
      <c r="C382" s="6" t="n">
        <v>5</v>
      </c>
      <c r="D382" s="7" t="inlineStr">
        <is>
          <t>Collection is limited to data necessary for the specified purpose (purpose/data limitation).</t>
        </is>
      </c>
      <c r="E382" s="6" t="inlineStr">
        <is>
          <t>Act S.6(1)</t>
        </is>
      </c>
      <c r="F382" s="6" t="inlineStr">
        <is>
          <t>yes</t>
        </is>
      </c>
      <c r="G382" s="6" t="inlineStr"/>
      <c r="H382" s="6" t="inlineStr"/>
      <c r="I382" s="8">
        <f>HYPERLINK("#'robu.in'!A1","read policy")</f>
        <v/>
      </c>
    </row>
    <row r="383">
      <c r="A383" s="6" t="inlineStr">
        <is>
          <t>robu.in</t>
        </is>
      </c>
      <c r="B383" s="6" t="inlineStr">
        <is>
          <t>sme</t>
        </is>
      </c>
      <c r="C383" s="6" t="n">
        <v>6</v>
      </c>
      <c r="D383" s="7" t="inlineStr">
        <is>
          <t>If legitimate uses are relied upon, they fall within the Act's Section 7 categories.</t>
        </is>
      </c>
      <c r="E383" s="6" t="inlineStr">
        <is>
          <t>Act S.7</t>
        </is>
      </c>
      <c r="F383" s="6" t="inlineStr">
        <is>
          <t>yes</t>
        </is>
      </c>
      <c r="G383" s="6" t="inlineStr"/>
      <c r="H383" s="6" t="inlineStr"/>
      <c r="I383" s="8">
        <f>HYPERLINK("#'robu.in'!A1","read policy")</f>
        <v/>
      </c>
    </row>
    <row r="384">
      <c r="A384" s="6" t="inlineStr">
        <is>
          <t>robu.in</t>
        </is>
      </c>
      <c r="B384" s="6" t="inlineStr">
        <is>
          <t>sme</t>
        </is>
      </c>
      <c r="C384" s="6" t="n">
        <v>7</v>
      </c>
      <c r="D384" s="7" t="inlineStr">
        <is>
          <t>A commitment to keep personal data accurate, complete and up to date.</t>
        </is>
      </c>
      <c r="E384" s="6" t="inlineStr">
        <is>
          <t>Act S.8(3)</t>
        </is>
      </c>
      <c r="F384" s="6" t="inlineStr">
        <is>
          <t>yes</t>
        </is>
      </c>
      <c r="G384" s="6" t="inlineStr"/>
      <c r="H384" s="6" t="inlineStr"/>
      <c r="I384" s="8">
        <f>HYPERLINK("#'robu.in'!A1","read policy")</f>
        <v/>
      </c>
    </row>
    <row r="385">
      <c r="A385" s="6" t="inlineStr">
        <is>
          <t>robu.in</t>
        </is>
      </c>
      <c r="B385" s="6" t="inlineStr">
        <is>
          <t>sme</t>
        </is>
      </c>
      <c r="C385" s="6" t="n">
        <v>8</v>
      </c>
      <c r="D385" s="7" t="inlineStr">
        <is>
          <t>A retention period, or an 'erase when the purpose ends' commitment, is stated.</t>
        </is>
      </c>
      <c r="E385" s="6" t="inlineStr">
        <is>
          <t>Rule 8; Act S.8(7)-(8)</t>
        </is>
      </c>
      <c r="F385" s="6" t="inlineStr">
        <is>
          <t>yes</t>
        </is>
      </c>
      <c r="G385" s="6" t="inlineStr"/>
      <c r="H385" s="6" t="inlineStr"/>
      <c r="I385" s="8">
        <f>HYPERLINK("#'robu.in'!A1","read policy")</f>
        <v/>
      </c>
    </row>
    <row r="386">
      <c r="A386" s="6" t="inlineStr">
        <is>
          <t>robu.in</t>
        </is>
      </c>
      <c r="B386" s="6" t="inlineStr">
        <is>
          <t>sme</t>
        </is>
      </c>
      <c r="C386" s="6" t="n">
        <v>9</v>
      </c>
      <c r="D386" s="7" t="inlineStr">
        <is>
          <t>Reasonable security safeguards (encryption, access control) are disclosed.</t>
        </is>
      </c>
      <c r="E386" s="6" t="inlineStr">
        <is>
          <t>Rule 6; Act S.8(5)</t>
        </is>
      </c>
      <c r="F386" s="6" t="inlineStr">
        <is>
          <t>yes</t>
        </is>
      </c>
      <c r="G386" s="6" t="inlineStr"/>
      <c r="H386" s="6" t="inlineStr"/>
      <c r="I386" s="8">
        <f>HYPERLINK("#'robu.in'!A1","read policy")</f>
        <v/>
      </c>
    </row>
    <row r="387">
      <c r="A387" s="6" t="inlineStr">
        <is>
          <t>robu.in</t>
        </is>
      </c>
      <c r="B387" s="6" t="inlineStr">
        <is>
          <t>sme</t>
        </is>
      </c>
      <c r="C387" s="6" t="n">
        <v>10</v>
      </c>
      <c r="D387" s="7" t="inlineStr">
        <is>
          <t>A commitment to notify affected users and the Board of a personal-data breach.</t>
        </is>
      </c>
      <c r="E387" s="6" t="inlineStr">
        <is>
          <t>Rule 7; Act S.8(6)</t>
        </is>
      </c>
      <c r="F387" s="6" t="inlineStr">
        <is>
          <t>yes</t>
        </is>
      </c>
      <c r="G387" s="6" t="inlineStr"/>
      <c r="H387" s="6" t="inlineStr"/>
      <c r="I387" s="8">
        <f>HYPERLINK("#'robu.in'!A1","read policy")</f>
        <v/>
      </c>
    </row>
    <row r="388">
      <c r="A388" s="6" t="inlineStr">
        <is>
          <t>robu.in</t>
        </is>
      </c>
      <c r="B388" s="6" t="inlineStr">
        <is>
          <t>sme</t>
        </is>
      </c>
      <c r="C388" s="6" t="n">
        <v>11</v>
      </c>
      <c r="D388" s="7" t="inlineStr">
        <is>
          <t>Withdrawal of consent is offered and is as easy as giving it, with a route stated.</t>
        </is>
      </c>
      <c r="E388" s="6" t="inlineStr">
        <is>
          <t>Rule 3; Act S.6(4)</t>
        </is>
      </c>
      <c r="F388" s="6" t="inlineStr">
        <is>
          <t>yes</t>
        </is>
      </c>
      <c r="G388" s="6" t="inlineStr"/>
      <c r="H388" s="6" t="inlineStr"/>
      <c r="I388" s="8">
        <f>HYPERLINK("#'robu.in'!A1","read policy")</f>
        <v/>
      </c>
    </row>
    <row r="389">
      <c r="A389" s="6" t="inlineStr">
        <is>
          <t>robu.in</t>
        </is>
      </c>
      <c r="B389" s="6" t="inlineStr">
        <is>
          <t>sme</t>
        </is>
      </c>
      <c r="C389" s="6" t="n">
        <v>12</v>
      </c>
      <c r="D389" s="7" t="inlineStr">
        <is>
          <t>Consent is a clear affirmative action, unbundled, not pre-ticked or implied.</t>
        </is>
      </c>
      <c r="E389" s="6" t="inlineStr">
        <is>
          <t>Act S.6</t>
        </is>
      </c>
      <c r="F389" s="6" t="inlineStr">
        <is>
          <t>yes</t>
        </is>
      </c>
      <c r="G389" s="6" t="inlineStr"/>
      <c r="H389" s="6" t="inlineStr"/>
      <c r="I389" s="8">
        <f>HYPERLINK("#'robu.in'!A1","read policy")</f>
        <v/>
      </c>
    </row>
    <row r="390">
      <c r="A390" s="6" t="inlineStr">
        <is>
          <t>robu.in</t>
        </is>
      </c>
      <c r="B390" s="6" t="inlineStr">
        <is>
          <t>sme</t>
        </is>
      </c>
      <c r="C390" s="6" t="n">
        <v>13</v>
      </c>
      <c r="D390" s="7" t="inlineStr">
        <is>
          <t>The Consent Manager route is acknowledged where relevant.</t>
        </is>
      </c>
      <c r="E390" s="6" t="inlineStr">
        <is>
          <t>Rule 4; Act S.6(7)</t>
        </is>
      </c>
      <c r="F390" s="6" t="inlineStr">
        <is>
          <t>yes</t>
        </is>
      </c>
      <c r="G390" s="6" t="inlineStr"/>
      <c r="H390" s="6" t="inlineStr"/>
      <c r="I390" s="8">
        <f>HYPERLINK("#'robu.in'!A1","read policy")</f>
        <v/>
      </c>
    </row>
    <row r="391">
      <c r="A391" s="6" t="inlineStr">
        <is>
          <t>robu.in</t>
        </is>
      </c>
      <c r="B391" s="6" t="inlineStr">
        <is>
          <t>sme</t>
        </is>
      </c>
      <c r="C391" s="6" t="n">
        <v>14</v>
      </c>
      <c r="D391" s="7" t="inlineStr">
        <is>
          <t>Users can review consent given / records of consent are maintained.</t>
        </is>
      </c>
      <c r="E391" s="6" t="inlineStr">
        <is>
          <t>Act S.6(6)</t>
        </is>
      </c>
      <c r="F391" s="6" t="inlineStr">
        <is>
          <t>yes</t>
        </is>
      </c>
      <c r="G391" s="6" t="inlineStr"/>
      <c r="H391" s="6" t="inlineStr"/>
      <c r="I391" s="8">
        <f>HYPERLINK("#'robu.in'!A1","read policy")</f>
        <v/>
      </c>
    </row>
    <row r="392">
      <c r="A392" s="6" t="inlineStr">
        <is>
          <t>robu.in</t>
        </is>
      </c>
      <c r="B392" s="6" t="inlineStr">
        <is>
          <t>sme</t>
        </is>
      </c>
      <c r="C392" s="6" t="n">
        <v>15</v>
      </c>
      <c r="D392" s="7" t="inlineStr">
        <is>
          <t>Verifiable parental consent for under-18s, and no tracking, behavioural monitoring or targeted ads to children.</t>
        </is>
      </c>
      <c r="E392" s="6" t="inlineStr">
        <is>
          <t>Act S.9</t>
        </is>
      </c>
      <c r="F392" s="6" t="inlineStr">
        <is>
          <t>yes</t>
        </is>
      </c>
      <c r="G392" s="6" t="inlineStr"/>
      <c r="H392" s="6" t="inlineStr"/>
      <c r="I392" s="8">
        <f>HYPERLINK("#'robu.in'!A1","read policy")</f>
        <v/>
      </c>
    </row>
    <row r="393">
      <c r="A393" s="6" t="inlineStr">
        <is>
          <t>robu.in</t>
        </is>
      </c>
      <c r="B393" s="6" t="inlineStr">
        <is>
          <t>sme</t>
        </is>
      </c>
      <c r="C393" s="6" t="n">
        <v>16</v>
      </c>
      <c r="D393" s="7" t="inlineStr">
        <is>
          <t>The right to access a summary of personal data being processed is disclosed.</t>
        </is>
      </c>
      <c r="E393" s="6" t="inlineStr">
        <is>
          <t>Act S.11</t>
        </is>
      </c>
      <c r="F393" s="6" t="inlineStr">
        <is>
          <t>yes</t>
        </is>
      </c>
      <c r="G393" s="6" t="inlineStr"/>
      <c r="H393" s="6" t="inlineStr"/>
      <c r="I393" s="8">
        <f>HYPERLINK("#'robu.in'!A1","read policy")</f>
        <v/>
      </c>
    </row>
    <row r="394">
      <c r="A394" s="6" t="inlineStr">
        <is>
          <t>robu.in</t>
        </is>
      </c>
      <c r="B394" s="6" t="inlineStr">
        <is>
          <t>sme</t>
        </is>
      </c>
      <c r="C394" s="6" t="n">
        <v>17</v>
      </c>
      <c r="D394" s="7" t="inlineStr">
        <is>
          <t>The right to correction of personal data is disclosed.</t>
        </is>
      </c>
      <c r="E394" s="6" t="inlineStr">
        <is>
          <t>Act S.12</t>
        </is>
      </c>
      <c r="F394" s="6" t="inlineStr">
        <is>
          <t>yes</t>
        </is>
      </c>
      <c r="G394" s="6" t="inlineStr"/>
      <c r="H394" s="6" t="inlineStr"/>
      <c r="I394" s="8">
        <f>HYPERLINK("#'robu.in'!A1","read policy")</f>
        <v/>
      </c>
    </row>
    <row r="395">
      <c r="A395" s="6" t="inlineStr">
        <is>
          <t>robu.in</t>
        </is>
      </c>
      <c r="B395" s="6" t="inlineStr">
        <is>
          <t>sme</t>
        </is>
      </c>
      <c r="C395" s="6" t="n">
        <v>18</v>
      </c>
      <c r="D395" s="7" t="inlineStr">
        <is>
          <t>The right to erasure of personal data is disclosed.</t>
        </is>
      </c>
      <c r="E395" s="6" t="inlineStr">
        <is>
          <t>Act S.12</t>
        </is>
      </c>
      <c r="F395" s="6" t="inlineStr">
        <is>
          <t>yes</t>
        </is>
      </c>
      <c r="G395" s="6" t="inlineStr"/>
      <c r="H395" s="6" t="inlineStr"/>
      <c r="I395" s="8">
        <f>HYPERLINK("#'robu.in'!A1","read policy")</f>
        <v/>
      </c>
    </row>
    <row r="396">
      <c r="A396" s="6" t="inlineStr">
        <is>
          <t>robu.in</t>
        </is>
      </c>
      <c r="B396" s="6" t="inlineStr">
        <is>
          <t>sme</t>
        </is>
      </c>
      <c r="C396" s="6" t="n">
        <v>19</v>
      </c>
      <c r="D396" s="7" t="inlineStr">
        <is>
          <t>A readily available grievance-redressal route is disclosed.</t>
        </is>
      </c>
      <c r="E396" s="6" t="inlineStr">
        <is>
          <t>Act S.13</t>
        </is>
      </c>
      <c r="F396" s="6" t="inlineStr">
        <is>
          <t>yes</t>
        </is>
      </c>
      <c r="G396" s="6" t="inlineStr"/>
      <c r="H396" s="6" t="inlineStr"/>
      <c r="I396" s="8">
        <f>HYPERLINK("#'robu.in'!A1","read policy")</f>
        <v/>
      </c>
    </row>
    <row r="397">
      <c r="A397" s="6" t="inlineStr">
        <is>
          <t>robu.in</t>
        </is>
      </c>
      <c r="B397" s="6" t="inlineStr">
        <is>
          <t>sme</t>
        </is>
      </c>
      <c r="C397" s="6" t="n">
        <v>20</v>
      </c>
      <c r="D397" s="7" t="inlineStr">
        <is>
          <t>The right to nominate is disclosed.</t>
        </is>
      </c>
      <c r="E397" s="6" t="inlineStr">
        <is>
          <t>Act S.14</t>
        </is>
      </c>
      <c r="F397" s="6" t="inlineStr">
        <is>
          <t>yes</t>
        </is>
      </c>
      <c r="G397" s="6" t="inlineStr"/>
      <c r="H397" s="6" t="inlineStr"/>
      <c r="I397" s="8">
        <f>HYPERLINK("#'robu.in'!A1","read policy")</f>
        <v/>
      </c>
    </row>
    <row r="398">
      <c r="A398" s="6" t="inlineStr">
        <is>
          <t>robu.in</t>
        </is>
      </c>
      <c r="B398" s="6" t="inlineStr">
        <is>
          <t>sme</t>
        </is>
      </c>
      <c r="C398" s="6" t="n">
        <v>21</v>
      </c>
      <c r="D398" s="7" t="inlineStr">
        <is>
          <t>A reachable grievance officer or business contact for data queries is published.</t>
        </is>
      </c>
      <c r="E398" s="6" t="inlineStr">
        <is>
          <t>Act S.8(9)-(10), S.13</t>
        </is>
      </c>
      <c r="F398" s="6" t="inlineStr">
        <is>
          <t>yes</t>
        </is>
      </c>
      <c r="G398" s="6" t="inlineStr"/>
      <c r="H398" s="6" t="inlineStr"/>
      <c r="I398" s="8">
        <f>HYPERLINK("#'robu.in'!A1","read policy")</f>
        <v/>
      </c>
    </row>
    <row r="399">
      <c r="A399" s="6" t="inlineStr">
        <is>
          <t>robu.in</t>
        </is>
      </c>
      <c r="B399" s="6" t="inlineStr">
        <is>
          <t>sme</t>
        </is>
      </c>
      <c r="C399" s="6" t="n">
        <v>22</v>
      </c>
      <c r="D399" s="7" t="inlineStr">
        <is>
          <t>A Data Protection Officer is appointed and published (Significant Data Fiduciary).</t>
        </is>
      </c>
      <c r="E399" s="6" t="inlineStr">
        <is>
          <t>Rule 13; Act S.10</t>
        </is>
      </c>
      <c r="F399" s="6" t="inlineStr">
        <is>
          <t>yes</t>
        </is>
      </c>
      <c r="G399" s="6" t="inlineStr"/>
      <c r="H399" s="6" t="inlineStr"/>
      <c r="I399" s="8">
        <f>HYPERLINK("#'robu.in'!A1","read policy")</f>
        <v/>
      </c>
    </row>
    <row r="400">
      <c r="A400" s="6" t="inlineStr">
        <is>
          <t>robu.in</t>
        </is>
      </c>
      <c r="B400" s="6" t="inlineStr">
        <is>
          <t>sme</t>
        </is>
      </c>
      <c r="C400" s="6" t="n">
        <v>23</v>
      </c>
      <c r="D400" s="7" t="inlineStr">
        <is>
          <t>Processors engaged only under a valid contract.</t>
        </is>
      </c>
      <c r="E400" s="6" t="inlineStr">
        <is>
          <t>Act S.8(2)</t>
        </is>
      </c>
      <c r="F400" s="6" t="inlineStr">
        <is>
          <t>yes</t>
        </is>
      </c>
      <c r="G400" s="6" t="inlineStr"/>
      <c r="H400" s="6" t="inlineStr"/>
      <c r="I400" s="8">
        <f>HYPERLINK("#'robu.in'!A1","read policy")</f>
        <v/>
      </c>
    </row>
    <row r="401">
      <c r="A401" s="6" t="inlineStr">
        <is>
          <t>robu.in</t>
        </is>
      </c>
      <c r="B401" s="6" t="inlineStr">
        <is>
          <t>sme</t>
        </is>
      </c>
      <c r="C401" s="6" t="n">
        <v>24</v>
      </c>
      <c r="D401" s="7" t="inlineStr">
        <is>
          <t>Third parties / recipients of data sharing are disclosed.</t>
        </is>
      </c>
      <c r="E401" s="6" t="inlineStr">
        <is>
          <t>Act S.8(2)</t>
        </is>
      </c>
      <c r="F401" s="6" t="inlineStr">
        <is>
          <t>yes</t>
        </is>
      </c>
      <c r="G401" s="6" t="inlineStr"/>
      <c r="H401" s="6" t="inlineStr"/>
      <c r="I401" s="8">
        <f>HYPERLINK("#'robu.in'!A1","read policy")</f>
        <v/>
      </c>
    </row>
    <row r="402">
      <c r="A402" s="6" t="inlineStr">
        <is>
          <t>robu.in</t>
        </is>
      </c>
      <c r="B402" s="6" t="inlineStr">
        <is>
          <t>sme</t>
        </is>
      </c>
      <c r="C402" s="6" t="n">
        <v>25</v>
      </c>
      <c r="D402" s="7" t="inlineStr">
        <is>
          <t>Sub-processor oversight is addressed.</t>
        </is>
      </c>
      <c r="E402" s="6" t="inlineStr">
        <is>
          <t>Rule 6; Act S.8(2)</t>
        </is>
      </c>
      <c r="F402" s="6" t="inlineStr">
        <is>
          <t>yes</t>
        </is>
      </c>
      <c r="G402" s="6" t="inlineStr"/>
      <c r="H402" s="6" t="inlineStr"/>
      <c r="I402" s="8">
        <f>HYPERLINK("#'robu.in'!A1","read policy")</f>
        <v/>
      </c>
    </row>
    <row r="403">
      <c r="A403" s="6" t="inlineStr">
        <is>
          <t>robu.in</t>
        </is>
      </c>
      <c r="B403" s="6" t="inlineStr">
        <is>
          <t>sme</t>
        </is>
      </c>
      <c r="C403" s="6" t="n">
        <v>26</v>
      </c>
      <c r="D403" s="7" t="inlineStr">
        <is>
          <t>Security obligations flow down to processors.</t>
        </is>
      </c>
      <c r="E403" s="6" t="inlineStr">
        <is>
          <t>Rule 6; Act S.8(2)</t>
        </is>
      </c>
      <c r="F403" s="6" t="inlineStr">
        <is>
          <t>yes</t>
        </is>
      </c>
      <c r="G403" s="6" t="inlineStr"/>
      <c r="H403" s="6" t="inlineStr"/>
      <c r="I403" s="8">
        <f>HYPERLINK("#'robu.in'!A1","read policy")</f>
        <v/>
      </c>
    </row>
    <row r="404">
      <c r="A404" s="6" t="inlineStr">
        <is>
          <t>robu.in</t>
        </is>
      </c>
      <c r="B404" s="6" t="inlineStr">
        <is>
          <t>sme</t>
        </is>
      </c>
      <c r="C404" s="6" t="n">
        <v>27</v>
      </c>
      <c r="D404" s="7" t="inlineStr">
        <is>
          <t>Transfers of personal data outside India are disclosed.</t>
        </is>
      </c>
      <c r="E404" s="6" t="inlineStr">
        <is>
          <t>Act S.16</t>
        </is>
      </c>
      <c r="F404" s="6" t="inlineStr">
        <is>
          <t>yes</t>
        </is>
      </c>
      <c r="G404" s="6" t="inlineStr"/>
      <c r="H404" s="6" t="inlineStr"/>
      <c r="I404" s="8">
        <f>HYPERLINK("#'robu.in'!A1","read policy")</f>
        <v/>
      </c>
    </row>
    <row r="405">
      <c r="A405" s="6" t="inlineStr">
        <is>
          <t>robu.in</t>
        </is>
      </c>
      <c r="B405" s="6" t="inlineStr">
        <is>
          <t>sme</t>
        </is>
      </c>
      <c r="C405" s="6" t="n">
        <v>28</v>
      </c>
      <c r="D405" s="7" t="inlineStr">
        <is>
          <t>Compliance with any restricted-country notification is addressed.</t>
        </is>
      </c>
      <c r="E405" s="6" t="inlineStr">
        <is>
          <t>Act S.16</t>
        </is>
      </c>
      <c r="F405" s="6" t="inlineStr">
        <is>
          <t>yes</t>
        </is>
      </c>
      <c r="G405" s="6" t="inlineStr"/>
      <c r="H405" s="6" t="inlineStr"/>
      <c r="I405" s="8">
        <f>HYPERLINK("#'robu.in'!A1","read policy")</f>
        <v/>
      </c>
    </row>
    <row r="406">
      <c r="A406" s="6" t="inlineStr">
        <is>
          <t>robu.in</t>
        </is>
      </c>
      <c r="B406" s="6" t="inlineStr">
        <is>
          <t>sme</t>
        </is>
      </c>
      <c r="C406" s="6" t="n">
        <v>29</v>
      </c>
      <c r="D406" s="7" t="inlineStr">
        <is>
          <t>Data storage location is disclosed.</t>
        </is>
      </c>
      <c r="E406" s="6" t="inlineStr">
        <is>
          <t>Act S.16</t>
        </is>
      </c>
      <c r="F406" s="6" t="inlineStr">
        <is>
          <t>yes</t>
        </is>
      </c>
      <c r="G406" s="6" t="inlineStr"/>
      <c r="H406" s="6" t="inlineStr"/>
      <c r="I406" s="8">
        <f>HYPERLINK("#'robu.in'!A1","read policy")</f>
        <v/>
      </c>
    </row>
    <row r="407">
      <c r="A407" s="6" t="inlineStr">
        <is>
          <t>robu.in</t>
        </is>
      </c>
      <c r="B407" s="6" t="inlineStr">
        <is>
          <t>sme</t>
        </is>
      </c>
      <c r="C407" s="6" t="n">
        <v>30</v>
      </c>
      <c r="D407" s="7" t="inlineStr">
        <is>
          <t>A Data Protection Impact Assessment is undertaken (Significant Data Fiduciary).</t>
        </is>
      </c>
      <c r="E407" s="6" t="inlineStr">
        <is>
          <t>Rule 13; Act S.10</t>
        </is>
      </c>
      <c r="F407" s="6" t="inlineStr">
        <is>
          <t>yes</t>
        </is>
      </c>
      <c r="G407" s="6" t="inlineStr"/>
      <c r="H407" s="6" t="inlineStr"/>
      <c r="I407" s="8">
        <f>HYPERLINK("#'robu.in'!A1","read policy")</f>
        <v/>
      </c>
    </row>
    <row r="408">
      <c r="A408" s="6" t="inlineStr">
        <is>
          <t>robu.in</t>
        </is>
      </c>
      <c r="B408" s="6" t="inlineStr">
        <is>
          <t>sme</t>
        </is>
      </c>
      <c r="C408" s="6" t="n">
        <v>31</v>
      </c>
      <c r="D408" s="7" t="inlineStr">
        <is>
          <t>Privacy by design and periodic audit are addressed.</t>
        </is>
      </c>
      <c r="E408" s="6" t="inlineStr">
        <is>
          <t>Rule 13; Act S.8</t>
        </is>
      </c>
      <c r="F408" s="6" t="inlineStr">
        <is>
          <t>yes</t>
        </is>
      </c>
      <c r="G408" s="6" t="inlineStr"/>
      <c r="H408" s="6" t="inlineStr"/>
      <c r="I408" s="8">
        <f>HYPERLINK("#'robu.in'!A1","read policy")</f>
        <v/>
      </c>
    </row>
    <row r="409">
      <c r="A409" s="6" t="inlineStr">
        <is>
          <t>robu.in</t>
        </is>
      </c>
      <c r="B409" s="6" t="inlineStr">
        <is>
          <t>sme</t>
        </is>
      </c>
      <c r="C409" s="6" t="n">
        <v>32</v>
      </c>
      <c r="D409" s="7" t="inlineStr">
        <is>
          <t>Data-minimisation measures by design are addressed.</t>
        </is>
      </c>
      <c r="E409" s="6" t="inlineStr">
        <is>
          <t>Act S.8</t>
        </is>
      </c>
      <c r="F409" s="6" t="inlineStr">
        <is>
          <t>yes</t>
        </is>
      </c>
      <c r="G409" s="6" t="inlineStr"/>
      <c r="H409" s="6" t="inlineStr"/>
      <c r="I409" s="8">
        <f>HYPERLINK("#'robu.in'!A1","read policy")</f>
        <v/>
      </c>
    </row>
    <row r="410">
      <c r="A410" s="6" t="inlineStr">
        <is>
          <t>robu.in</t>
        </is>
      </c>
      <c r="B410" s="6" t="inlineStr">
        <is>
          <t>sme</t>
        </is>
      </c>
      <c r="C410" s="6" t="n">
        <v>33</v>
      </c>
      <c r="D410" s="7" t="inlineStr">
        <is>
          <t>A published privacy policy exists and is reachable.</t>
        </is>
      </c>
      <c r="E410" s="6" t="inlineStr">
        <is>
          <t>Rule 3; Act S.5</t>
        </is>
      </c>
      <c r="F410" s="6" t="inlineStr">
        <is>
          <t>yes</t>
        </is>
      </c>
      <c r="G410" s="6" t="inlineStr"/>
      <c r="H410" s="6" t="inlineStr"/>
      <c r="I410" s="8">
        <f>HYPERLINK("#'robu.in'!A1","read policy")</f>
        <v/>
      </c>
    </row>
    <row r="411">
      <c r="A411" s="6" t="inlineStr">
        <is>
          <t>robu.in</t>
        </is>
      </c>
      <c r="B411" s="6" t="inlineStr">
        <is>
          <t>sme</t>
        </is>
      </c>
      <c r="C411" s="6" t="n">
        <v>34</v>
      </c>
      <c r="D411" s="7" t="inlineStr">
        <is>
          <t>A cookie policy / tracker disclosure is published.</t>
        </is>
      </c>
      <c r="E411" s="6" t="inlineStr">
        <is>
          <t>Rule 3; Act S.5</t>
        </is>
      </c>
      <c r="F411" s="6" t="inlineStr">
        <is>
          <t>yes</t>
        </is>
      </c>
      <c r="G411" s="6" t="inlineStr"/>
      <c r="H411" s="6" t="inlineStr"/>
      <c r="I411" s="8">
        <f>HYPERLINK("#'robu.in'!A1","read policy")</f>
        <v/>
      </c>
    </row>
    <row r="412">
      <c r="A412" s="6" t="inlineStr">
        <is>
          <t>robu.in</t>
        </is>
      </c>
      <c r="B412" s="6" t="inlineStr">
        <is>
          <t>sme</t>
        </is>
      </c>
      <c r="C412" s="6" t="n">
        <v>35</v>
      </c>
      <c r="D412" s="7" t="inlineStr">
        <is>
          <t>Terms of service are published.</t>
        </is>
      </c>
      <c r="E412" s="6" t="inlineStr">
        <is>
          <t>Act S.5</t>
        </is>
      </c>
      <c r="F412" s="6" t="inlineStr">
        <is>
          <t>yes</t>
        </is>
      </c>
      <c r="G412" s="6" t="inlineStr"/>
      <c r="H412" s="6" t="inlineStr"/>
      <c r="I412" s="8">
        <f>HYPERLINK("#'robu.in'!A1","read policy")</f>
        <v/>
      </c>
    </row>
    <row r="413">
      <c r="A413" s="6" t="inlineStr">
        <is>
          <t>robu.in</t>
        </is>
      </c>
      <c r="B413" s="6" t="inlineStr">
        <is>
          <t>sme</t>
        </is>
      </c>
      <c r="C413" s="6" t="n">
        <v>36</v>
      </c>
      <c r="D413" s="7" t="inlineStr">
        <is>
          <t>Notice is available in an accessible form (and Indian languages where relevant).</t>
        </is>
      </c>
      <c r="E413" s="6" t="inlineStr">
        <is>
          <t>Rule 3; Act S.5</t>
        </is>
      </c>
      <c r="F413" s="6" t="inlineStr">
        <is>
          <t>yes</t>
        </is>
      </c>
      <c r="G413" s="6" t="inlineStr"/>
      <c r="H413" s="6" t="inlineStr"/>
      <c r="I413" s="8">
        <f>HYPERLINK("#'robu.in'!A1","read policy")</f>
        <v/>
      </c>
    </row>
    <row r="414">
      <c r="A414" s="6" t="inlineStr">
        <is>
          <t>robu.in</t>
        </is>
      </c>
      <c r="B414" s="6" t="inlineStr">
        <is>
          <t>sme</t>
        </is>
      </c>
      <c r="C414" s="6" t="n">
        <v>37</v>
      </c>
      <c r="D414" s="7" t="inlineStr">
        <is>
          <t>Registered office / entity contact details are published.</t>
        </is>
      </c>
      <c r="E414" s="6" t="inlineStr">
        <is>
          <t>Act S.8(9)</t>
        </is>
      </c>
      <c r="F414" s="6" t="inlineStr">
        <is>
          <t>yes</t>
        </is>
      </c>
      <c r="G414" s="6" t="inlineStr"/>
      <c r="H414" s="6" t="inlineStr"/>
      <c r="I414" s="8">
        <f>HYPERLINK("#'robu.in'!A1","read policy")</f>
        <v/>
      </c>
    </row>
    <row r="415">
      <c r="A415" s="6" t="inlineStr">
        <is>
          <t>robu.in</t>
        </is>
      </c>
      <c r="B415" s="6" t="inlineStr">
        <is>
          <t>sme</t>
        </is>
      </c>
      <c r="C415" s="6" t="n">
        <v>38</v>
      </c>
      <c r="D415" s="7" t="inlineStr">
        <is>
          <t>The site serves over HTTPS (encryption in transit).</t>
        </is>
      </c>
      <c r="E415" s="6" t="inlineStr">
        <is>
          <t>Rule 6; Act S.8(5)</t>
        </is>
      </c>
      <c r="F415" s="6" t="inlineStr">
        <is>
          <t>yes</t>
        </is>
      </c>
      <c r="G415" s="6" t="inlineStr"/>
      <c r="H415" s="6" t="inlineStr"/>
      <c r="I415" s="8">
        <f>HYPERLINK("#'robu.in'!A1","read policy")</f>
        <v/>
      </c>
    </row>
    <row r="416">
      <c r="A416" s="6" t="inlineStr">
        <is>
          <t>robu.in</t>
        </is>
      </c>
      <c r="B416" s="6" t="inlineStr">
        <is>
          <t>sme</t>
        </is>
      </c>
      <c r="C416" s="6" t="n">
        <v>39</v>
      </c>
      <c r="D416" s="7" t="inlineStr">
        <is>
          <t>Encryption at rest is disclosed.</t>
        </is>
      </c>
      <c r="E416" s="6" t="inlineStr">
        <is>
          <t>Rule 6; Act S.8(5)</t>
        </is>
      </c>
      <c r="F416" s="6" t="inlineStr">
        <is>
          <t>yes</t>
        </is>
      </c>
      <c r="G416" s="6" t="inlineStr"/>
      <c r="H416" s="6" t="inlineStr"/>
      <c r="I416" s="8">
        <f>HYPERLINK("#'robu.in'!A1","read policy")</f>
        <v/>
      </c>
    </row>
    <row r="417">
      <c r="A417" s="6" t="inlineStr">
        <is>
          <t>robu.in</t>
        </is>
      </c>
      <c r="B417" s="6" t="inlineStr">
        <is>
          <t>sme</t>
        </is>
      </c>
      <c r="C417" s="6" t="n">
        <v>40</v>
      </c>
      <c r="D417" s="7" t="inlineStr">
        <is>
          <t>Access controls and logging are disclosed.</t>
        </is>
      </c>
      <c r="E417" s="6" t="inlineStr">
        <is>
          <t>Rule 6; Act S.8(5)</t>
        </is>
      </c>
      <c r="F417" s="6" t="inlineStr">
        <is>
          <t>yes</t>
        </is>
      </c>
      <c r="G417" s="6" t="inlineStr"/>
      <c r="H417" s="6" t="inlineStr"/>
      <c r="I417" s="8">
        <f>HYPERLINK("#'robu.in'!A1","read policy")</f>
        <v/>
      </c>
    </row>
    <row r="418">
      <c r="A418" s="6" t="inlineStr">
        <is>
          <t>robu.in</t>
        </is>
      </c>
      <c r="B418" s="6" t="inlineStr">
        <is>
          <t>sme</t>
        </is>
      </c>
      <c r="C418" s="6" t="n">
        <v>41</v>
      </c>
      <c r="D418" s="7" t="inlineStr">
        <is>
          <t>An internal data-protection policy / governance is in place.</t>
        </is>
      </c>
      <c r="E418" s="6" t="inlineStr">
        <is>
          <t>Act S.8</t>
        </is>
      </c>
      <c r="F418" s="6" t="inlineStr">
        <is>
          <t>yes</t>
        </is>
      </c>
      <c r="G418" s="6" t="inlineStr"/>
      <c r="H418" s="6" t="inlineStr"/>
      <c r="I418" s="8">
        <f>HYPERLINK("#'robu.in'!A1","read policy")</f>
        <v/>
      </c>
    </row>
    <row r="419">
      <c r="A419" s="6" t="inlineStr">
        <is>
          <t>robu.in</t>
        </is>
      </c>
      <c r="B419" s="6" t="inlineStr">
        <is>
          <t>sme</t>
        </is>
      </c>
      <c r="C419" s="6" t="n">
        <v>42</v>
      </c>
      <c r="D419" s="7" t="inlineStr">
        <is>
          <t>Staff are trained on data protection.</t>
        </is>
      </c>
      <c r="E419" s="6" t="inlineStr">
        <is>
          <t>Act Rule 13</t>
        </is>
      </c>
      <c r="F419" s="6" t="inlineStr">
        <is>
          <t>yes</t>
        </is>
      </c>
      <c r="G419" s="6" t="inlineStr"/>
      <c r="H419" s="6" t="inlineStr"/>
      <c r="I419" s="8">
        <f>HYPERLINK("#'robu.in'!A1","read policy")</f>
        <v/>
      </c>
    </row>
    <row r="420">
      <c r="A420" s="6" t="inlineStr">
        <is>
          <t>robu.in</t>
        </is>
      </c>
      <c r="B420" s="6" t="inlineStr">
        <is>
          <t>sme</t>
        </is>
      </c>
      <c r="C420" s="6" t="n">
        <v>43</v>
      </c>
      <c r="D420" s="7" t="inlineStr">
        <is>
          <t>Records of processing activities are maintained.</t>
        </is>
      </c>
      <c r="E420" s="6" t="inlineStr">
        <is>
          <t>Act S.8</t>
        </is>
      </c>
      <c r="F420" s="6" t="inlineStr">
        <is>
          <t>yes</t>
        </is>
      </c>
      <c r="G420" s="6" t="inlineStr"/>
      <c r="H420" s="6" t="inlineStr"/>
      <c r="I420" s="8">
        <f>HYPERLINK("#'robu.in'!A1","read policy")</f>
        <v/>
      </c>
    </row>
    <row r="421">
      <c r="A421" s="6" t="inlineStr">
        <is>
          <t>robu.in</t>
        </is>
      </c>
      <c r="B421" s="6" t="inlineStr">
        <is>
          <t>sme</t>
        </is>
      </c>
      <c r="C421" s="6" t="n">
        <v>44</v>
      </c>
      <c r="D421" s="7" t="inlineStr">
        <is>
          <t>An incident-response plan exists.</t>
        </is>
      </c>
      <c r="E421" s="6" t="inlineStr">
        <is>
          <t>Rule 7; Act S.8(6)</t>
        </is>
      </c>
      <c r="F421" s="6" t="inlineStr">
        <is>
          <t>yes</t>
        </is>
      </c>
      <c r="G421" s="6" t="inlineStr"/>
      <c r="H421" s="6" t="inlineStr"/>
      <c r="I421" s="8">
        <f>HYPERLINK("#'robu.in'!A1","read policy")</f>
        <v/>
      </c>
    </row>
    <row r="422">
      <c r="A422" s="6" t="inlineStr">
        <is>
          <t>robu.in</t>
        </is>
      </c>
      <c r="B422" s="6" t="inlineStr">
        <is>
          <t>sme</t>
        </is>
      </c>
      <c r="C422" s="6" t="n">
        <v>45</v>
      </c>
      <c r="D422" s="7" t="inlineStr">
        <is>
          <t>Vendor / third-party risk management is addressed.</t>
        </is>
      </c>
      <c r="E422" s="6" t="inlineStr">
        <is>
          <t>Act Rule 6</t>
        </is>
      </c>
      <c r="F422" s="6" t="inlineStr">
        <is>
          <t>yes</t>
        </is>
      </c>
      <c r="G422" s="6" t="inlineStr"/>
      <c r="H422" s="6" t="inlineStr"/>
      <c r="I422" s="8">
        <f>HYPERLINK("#'robu.in'!A1","read policy")</f>
        <v/>
      </c>
    </row>
    <row r="423">
      <c r="A423" s="6" t="inlineStr">
        <is>
          <t>robu.in</t>
        </is>
      </c>
      <c r="B423" s="6" t="inlineStr">
        <is>
          <t>sme</t>
        </is>
      </c>
      <c r="C423" s="6" t="n">
        <v>46</v>
      </c>
      <c r="D423" s="7" t="inlineStr">
        <is>
          <t>Significant-Data-Fiduciary obligations / Board reporting are addressed where applicable.</t>
        </is>
      </c>
      <c r="E423" s="6" t="inlineStr">
        <is>
          <t>Rule 13; Act S.10</t>
        </is>
      </c>
      <c r="F423" s="6" t="inlineStr">
        <is>
          <t>yes</t>
        </is>
      </c>
      <c r="G423" s="6" t="inlineStr"/>
      <c r="H423" s="6" t="inlineStr"/>
      <c r="I423" s="8">
        <f>HYPERLINK("#'robu.in'!A1","read policy")</f>
        <v/>
      </c>
    </row>
    <row r="424">
      <c r="A424" s="6" t="inlineStr">
        <is>
          <t>robu.in</t>
        </is>
      </c>
      <c r="B424" s="6" t="inlineStr">
        <is>
          <t>sme</t>
        </is>
      </c>
      <c r="C424" s="6" t="n">
        <v>47</v>
      </c>
      <c r="D424" s="7" t="inlineStr">
        <is>
          <t>A periodic compliance review / audit is performed.</t>
        </is>
      </c>
      <c r="E424" s="6" t="inlineStr">
        <is>
          <t>Act Rule 13</t>
        </is>
      </c>
      <c r="F424" s="6" t="inlineStr">
        <is>
          <t>yes</t>
        </is>
      </c>
      <c r="G424" s="6" t="inlineStr"/>
      <c r="H424" s="6" t="inlineStr"/>
      <c r="I424" s="8">
        <f>HYPERLINK("#'robu.in'!A1","read policy")</f>
        <v/>
      </c>
    </row>
  </sheetData>
  <autoFilter ref="A1:I424"/>
  <dataValidations count="1">
    <dataValidation sqref="G2:G424" showDropDown="0" showInputMessage="0" showErrorMessage="0" allowBlank="1" promptTitle="Verdict" prompt="Pick one verdict" type="list">
      <formula1>"Compliant,Partial,Gap,NotApplicable,NotVerifiable"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20" customWidth="1" min="1" max="1"/>
  </cols>
  <sheetData>
    <row r="1">
      <c r="A1" s="12" t="inlineStr">
        <is>
          <t>PRIVACY POLICY TEXT: du.ac.in</t>
        </is>
      </c>
    </row>
    <row r="2">
      <c r="A2" s="13" t="inlineStr">
        <is>
          <t>(read this to grade the 'du.ac.in' rows on the Labels sheet)</t>
        </is>
      </c>
    </row>
    <row r="4">
      <c r="A4" s="14">
        <f>==== PAGE: https://du.ac.in/index.php?page=privacy-policy-admission =====</f>
        <v/>
      </c>
    </row>
    <row r="5">
      <c r="A5" s="14" t="inlineStr">
        <is>
          <t>Privacy Policy - Admission - Delhi University Institution of Eminence हिंदी English -A A A+ &amp;nbsp;NAAC &amp;nbsp;डीयू कुलगीत &amp;nbsp;DU COVID CARE --&gt; &amp;nbsp;Student Grievance Redressal &amp;nbsp;Samarth@DU &amp;nbsp;UoD Foundation &amp;nbsp;Udhmodya Foundation Home&amp;nbsp; Menu Colleges Departments --&gt; Important Links --&gt; --&gt; Home About DU About DU: Overview Vision and Mission VC&amp;#39;s Messages &amp;amp; Videos DU Ranking Social Outreach DU-NIRF DU - NAAC DU e-Journals University Handbooks Annual Reports University Calendar DU Gallery DU Memoir Acts, Statutes and Ordinances Institutional Development Plan Strategic Plan 2024-2047 Best Practices 2024 DU Archives Academics Faculties Departments Centers/Institutes Delhi School of Economics Campus of Open Learning Colleges Courses &amp;amp; Syllabi International Relations International Students Virtual Learning Competence Enhancement Scheme (CES) Non-Collegiate Women&amp;#39;s Education Board Academic Calendar Faculty Members Adjunct Faculty Members NEP: 2020 Courses &amp;amp; Syllabi NEP: UGCF 2022 Syllabi NEP: PGCF 2024 Syllabi Revised-syllabi 2019-2020 Revised CBCS Syllabi Under-Graduate Post-Graduate Ph.D. M.Phil. Other Courses Research Research, Innovation and Entrepreneurship Council Research Profile Institutional Human Ethics Committee Intellectual Property Rights Prevention of Plagiarism &amp;amp; Shodhganga - Thesis Repository Research Ordinances and Gazette Notification JRF to SRF link for online proforma Research Opportunities Technology Transfer DU/DST Purse Grants Awards and Honours Major Areas of Research Ph.D. extension online portal link Academic Integrity and Ethical Guidelines Guidelines for Sponsored Research Projects and Consultancy Guidelines for online thesis submission during COVID-19 PMRF Guidelines Memorandum of Understanding (MoU) Libraries DU Library System DU eLibrary Search for Articles e-Resources (A-Z) Subject-wise e-Resources Information Literacy E-Books Research Information Management System Amenities Centre for Professional</t>
        </is>
      </c>
    </row>
    <row r="6">
      <c r="A6" s="14" t="inlineStr">
        <is>
          <t>Development in Higher Education Central Placement Computer Centre Conference Centre Delhi University Women&amp;#39;s Association (DUWA) Directorate of Hindi Medium Implementation Engineering Office Foreign Students&amp;#39; Registry Gandhi Bhawan Health Centre Hostels International Guest House Rajbhasha Cell University Guest House University Press University Radio (DUCR 90.4) University Science Instrumentation Centre University Garden World University Service (WUS) - DUC Alumni Alumni Website Administration Vice Chancellor Director South Campus Dean of Colleges Treasurer Registrar Finance Officer Director, Campus of Open Learning Proctor Public Relations Officer Special Cell Chief Vigilance Officer Librarian Deans Administrative Offices Committees Statutory Bodies Ombudsperson Organogram Chart Controller of Examination Campuses North Campus South Campus East Campus West Campus Tenders Central Office Deptts/Centres/Hostels Colleges Engineering Department General Branch News &amp;amp; Events News Events Admissions &amp; Examinations 2020 Home &amp;nbsp;&amp;nbsp;&amp;nbsp; Goto Old Website -A A A+ &amp;nbsp;&amp;nbsp;&amp;nbsp;&amp;nbsp;&amp;nbsp;&amp;nbsp; English &amp;nbsp;&amp;nbsp;&amp;nbsp;&amp;nbsp;&amp;nbsp;&amp;nbsp; Hindi Important Links Colleges &amp;nbsp;&amp;nbsp;&amp;nbsp;&amp;nbsp; Departments &amp;nbsp;&amp;nbsp;&amp;nbsp;&amp;nbsp; Important Links A Acharya Narendra Dev College&amp;nbsp; Aditi Mahavidyalaya&amp;nbsp; Aryabhatta College &amp;nbsp; Atma Ram Sanatan Dharma College&amp;nbsp; B Bhagini Nivedita College&amp;nbsp; Bharati College&amp;nbsp; Bhaskaracharya College of Applied Sciences&amp;nbsp; Bhim Rao Ambedkar College&amp;nbsp; C College of Art&amp;nbsp; College of Vocational Studies&amp;nbsp; D Daulat Ram College&amp;nbsp; Delhi College of Arts &amp;amp; Commerce&amp;nbsp; Deshbandhu College(Morning)&amp;nbsp; Deen Dayal Upadhyaya College&amp;nbsp; Durga Bai Deshmukh College of Special Edu.(VI)&amp;nbsp; Dyal Singh College&amp;nbsp; Dyal Singh College (Evening)&amp;nbsp; G Gargi College&amp;nbsp; F --&gt; H Hans Raj College&amp;nbsp; Hindu College&amp;nbsp; I Indira Gandhi Institute of Physical Education &amp;amp; Sports Sciences&amp;nbsp;</t>
        </is>
      </c>
    </row>
    <row r="7">
      <c r="A7" s="14" t="inlineStr">
        <is>
          <t>Indraprastha College for Women&amp;nbsp; Institute of Home Economics&amp;nbsp; J Janki Devi Memorial College&amp;nbsp; Jesus &amp;amp; Mary College&amp;nbsp; K Kalindi College for Women&amp;nbsp; Kamla Nehru College for Women&amp;nbsp; Keshav Mahavidyalaya&amp;nbsp; Kirori Mal College&amp;nbsp; L Lady Irwin College&amp;nbsp; Lady Shri Ram College for Women&amp;nbsp; Lakshmi Bai College for Women&amp;nbsp; M Maharaja Agarsen College&amp;nbsp; Maharshi Valmiki College of Education&amp;nbsp; Maitreyi College for Women&amp;nbsp; Mata Sundri College for Women&amp;nbsp; Miranda House&amp;nbsp; Moti Lal Nehru College&amp;nbsp; Moti Lal Nehru College (Evening)&amp;nbsp; P P.G.D.A.V. College&amp;nbsp; P.G.D.A.V. College (Evening)&amp;nbsp; R Rajdhani College&amp;nbsp; Rajkumari Amrit Kaur College of Nursing&amp;nbsp; Ram Lal Anand College&amp;nbsp; Ramanujan College&amp;nbsp; Ramjas College&amp;nbsp; U --&gt; N --&gt; S Satyawati College&amp;nbsp; Satyawati College (Evening)&amp;nbsp; School of Open Learning ( Erstwhile School of Correspondence &amp;amp; Continuing Education)&amp;nbsp; Shaheed Bhagat Singh College&amp;nbsp; Shaheed Bhagat Singh College (Evening)&amp;nbsp; Shaheed Rajguru College of Applied Sciences for Women&amp;nbsp; Shaheed Sukhdev College of Business Studies&amp;nbsp; Shivaji College&amp;nbsp; Shri Ram College of Commerce&amp;nbsp; Shyam Lal College&amp;nbsp; Shyam Lal College (Evening)&amp;nbsp; Shyama Prasad Mukherji College for Women&amp;nbsp; Sri Aurobindo College&amp;nbsp; Sri Aurobindo College (Evening)&amp;nbsp; Sri Guru Gobind Singh College of Commerce&amp;nbsp; Sri Guru Nanak Dev Khalsa College&amp;nbsp; Sri Guru Tegh Bahadur Khalsa College&amp;nbsp; Sri Venkateswara College&amp;nbsp; St. Stephen's College&amp;nbsp; Swami Shraddhanand College&amp;nbsp; V Vivekananda College&amp;nbsp; Z Zakir Husain Delhi College&amp;nbsp; Zakir Husain Post Graduate Evening College&amp;nbsp; Other Institutions Ahilya Bai College of Nursing&amp;nbsp; Amar Jyoti Institute of Physiotherapy&amp;nbsp; Ayurvedic &amp;amp; Unani Tibia College&amp;nbsp; Chacha Nehru Bal Chikitsalaya&amp;nbsp; College of Nursing at Army Hospital (R&amp;amp;R)&amp;nbsp; Delhi Institute of Pharmaceutical Sciences and</t>
        </is>
      </c>
    </row>
    <row r="8">
      <c r="A8" s="14" t="inlineStr">
        <is>
          <t>Research&amp;nbsp; Florence Nightingale College of Nursing&amp;nbsp; Holy Family College of Nursing&amp;nbsp; Lady Hardinge Medical College&amp;nbsp; Maulana Azad Institute of Dental Sciences&amp;nbsp; Maulana Azad Medical College&amp;nbsp; Nehru Homeopathic Medical College &amp;amp; Hospital&amp;nbsp; Netaji Subhash Institute of Technology&amp;nbsp; --&gt; National Institute of Health &amp;amp; Family Welfare&amp;nbsp; Pt. Deendayal Upadhyaya Institute of Physically Handicapped&amp;nbsp; Rajkumari Amrit Kaur College of Nursing&amp;nbsp; Kasturba Hospital&amp;nbsp; Institute of Human Behaviour &amp;amp; Allied Sciences&amp;nbsp; G.B. Pant Hospital&amp;nbsp; All India Institute of Ayurveda&amp;nbsp; School of Rehabilitation Sciences&amp;nbsp; University College of Medical Sciences&amp;nbsp; Vallabhbhai Patel Chest Institute&amp;nbsp; Faculty of Applied Social Sciences and Humanities Department of Finance and Business Economics Faculty of Commerce &amp;amp; Business Studies Department of Commerce Faculty of Education Department of Education Faculty of Law Department of Law Faculty of Arts Department of Arabic Department of Buddhist Studies Department of Germanic &amp;amp; Romance Studies Department of Hindi Department of Library &amp;amp; Information Science Department of Linguistics Department of Indian Languages and Literary Studies Department of Persian Department of Philosophy Department of Psychology Department of Punjabi Department of Sanskrit Department of Slavonic &amp;amp; Finno-Ugrian Studies Department of Urdu Department of English Faculty of Interdisciplinary &amp;amp; Applied Sciences Department of Biochemistry Department of Biophysics Department of Electronic Science Department of Genetics Department of Microbiology Department of Physical Education &amp;amp; Sports Sciences Department of Plant Molecular Biology Faculty of Music Department of Music Department of Fine Arts Faculty of Management Studies Department of Business Management &amp;amp; Industrial Administration Faculty of Science Department of Anthropology Department of Botany Department of Chemistry</t>
        </is>
      </c>
    </row>
    <row r="9">
      <c r="A9" s="14" t="inlineStr">
        <is>
          <t>Department of Environmental Studies Department of Geology Department of Home Science Department of Nursing Department of Pharmacy Department of Physics &amp;amp; Astrophysics Department of Zoology Faculty of Technology Department of Computer Engineering Department of Electrical Engineering Department of Electronics &amp;amp; Communication Engineering Faculty of Mathematical Sciences Department of Computer Science Department of Mathematics Department of Operational Research Department of Statistics Faculty of Social Sciences Department of Adult, Continuing Education &amp;amp; Extension Department of African Studies Delhi School of Journalism Department of East Asian Studies Department of Economics Department of Geography Department of History Department of Political Science Department of Social Work Department of Sociology Faculty of Open Learning Distance &amp;amp; Continuing Education Affiliated Faculties Department of Ayurvedic &amp;amp; Unani Medicine Department of Homeopathic Medicine Faculty of Medical Sciences Department of Anaesthesiology &amp;amp; Critical Care Department of Anatomy Department of Medical Bio-Chemistry Department of Community Medicine Department of Dermatology, Venereology &amp;amp; Leprosy Department of Dental Sciences Department of Forensic Medicine Department of Obstetrics &amp;amp; Gyanaecology Department of Medicine Department of Medical Microbiology Department of Opthalmology Department of Orthopaedics Department of Otolaryngology Department of Paediatrics Department of Pathology Department of Pharmacology Department of Physiology Department of Psychiatry Department of Pulmonary Medicine Department of Radiology, Radiotherapy, Radiodiagnosis &amp;amp; Radiation Medicine Department of Surgery Students Corner Academic Resources (Previous Year Question Papers etc.) Hostels Student Activities - NSS , NCC &amp; Sports DUSU Equal Opportunity Cell Opportunities / Scholarships Fellowships Forms Anti-Ragging SC/ST Student Grievance&amp;nbsp; Foreign Students' Registry&amp;nbsp; Central</t>
        </is>
      </c>
    </row>
    <row r="10">
      <c r="A10" s="14" t="inlineStr">
        <is>
          <t>Placement Cell&amp;nbsp; NME-ICT&amp;nbsp; Digi Locker NAD Portal&amp;nbsp; National Scholarship Portal&amp;nbsp; UGC Guidelines for Student Grievances Regulations, 2023&amp;nbsp; &amp;nbsp; Helpline for Women (24x7) Office Memorandum - 24x7 helpline for women in distress Helpline no. 7827170170 www.ncwwomenhelpline.in&amp;nbsp;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Staff Jobs &amp; Opportunities HR &amp; Trainings Notifications --&gt; Statutory Bodies Internal Complaints Committee (ICC) (Prevention of Sexual Harassment) Sanctioned Posts Welfare Measure Forms Integrity Pledge-Central Vigilance Commission&amp;nbsp; If complainants fail to get internal redress, DPG (https://dpg.gov.in) can be approached for redress of grievances&amp;nbsp; Office Orders / Circulars / Guidelines Rules &amp; Policies Acts, Statutes and Ordinances Guidelines and Notifications Procurement Policy Notification (Archive) Estate Estate Website Online Portal for Premises Booking Notification - Parking Sticker , Online Application Link Application form for Pensioner's ID Card Notification - Employee Identity Card Finance Financial Estimates/Annual Accounts/Expenditure Details/ Notifications/Minutes/Rules/E-procurement Visitors Live a life free from addiction. Take the pledge. &amp;nbsp; Study in India&amp;nbsp; Tenders and Quotations Rules, Policies &amp; Ordinances Guidelines and Notifications --&gt; Jobs &amp; Opportunities RTI Cyber Security &amp; Awareness&amp;nbsp; Cyber Security Guidelines for Government Employees&amp;nbsp; &amp;nbsp; --&gt; MY Bharat Portal&amp;nbsp; "DIGITAL SANSAD" Mobile App&amp;nbsp; &amp;nbsp; National Cyber Crime Reporting Portal&amp;nbsp; --&gt; National Voters' Service Portal&amp;nbsp; SSR of Electoral Rolls 2021 --&gt; Swayam Portal&amp;nbsp; Guidelines for SEDGs&amp;nbsp; ePathshala Portal&amp;nbsp; Start-Ups Incubated on Campus&amp;nbsp; &amp;nbsp;</t>
        </is>
      </c>
    </row>
    <row r="11">
      <c r="A11" s="14" t="inlineStr">
        <is>
          <t>BHIM App&amp;nbsp; Directions - IT Act, 2000&amp;nbsp; &amp;nbsp; ICT Initiatives of MHRD&amp;nbsp; mSeva AppStore&amp;nbsp; Cyber Security Handbook For "Mahila Suraksha"&amp;nbsp; &amp;nbsp; Regarding book “Swachh Bharat: Sankalp se Siddhi" EVM-VVPAT - Election Commission of India&amp;nbsp; Project Management Launched on 15 August, 2018 --&gt; Application form for Refund of Fees&amp;nbsp; &amp;nbsp; Alumni - Related Forms&amp;nbsp; Alumni - Related ExamBranch Service Windows How to get your original degree&amp;nbsp; Connect to India Programme&amp;nbsp; --&gt; Campus Harmony &amp; Well Being e-Samadhan&amp;nbsp; Student Grievance Redressal Committee (SGRC)&amp;nbsp; Details of OMBUDSPERSON&amp;nbsp; Internal Quality Assurance Cell&amp;nbsp; Alumni Alumni Ministry of Statistics and Program Implementation, GoI MoSPI Website&amp;nbsp; e-Sankhyiki Portal&amp;nbsp; Microdata&amp;nbsp; Data Viz. Page&amp;nbsp;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--&gt; Related Pages View Colleges View Departments --&gt; --&gt; --&gt; Recent Pages you've visted --&gt; --&gt; --&gt; Delhi University Computer Centre --&gt; Department of Arts --&gt; IIC Research Lab --&gt; Vice Chancellor --&gt; Chancellor --&gt; About DU --&gt; List of Departments --&gt; Faculties --&gt; Press Releases --&gt; South Campus --&gt; Hansraj College --&gt; North Campus --&gt; Department Information --&gt; Revised-Sylabbi 2019-20 --&gt; Under-Graduate --&gt; Post-Graduate --&gt; --&gt; --&gt; --&gt; Clear my--&gt; --&gt; Or Hide this--&gt; --&gt; --&gt; --&gt; --&gt; --&gt; You are here:&amp;nbsp; Privacy Policy - Admission Share this --&gt; Privacy Policy Collect and use the personal data of applicants for undergraduate/postgraduate programs during their application process PURPOSE OF THIS DOCUMENT The University of Delhi is committed to protecting the privacy and security of your personal information (&amp;lsquo;personal data&amp;rsquo;). This privacy policy describes how</t>
        </is>
      </c>
    </row>
    <row r="12">
      <c r="A12" s="14" t="inlineStr">
        <is>
          <t>we collect and use your personal data during the admissions process. This policy applies to prospective students. In addition, each department/Centers/Institute/college will have its own NDA/privacy notice. It is important that you read this policy, together with any other privacy policy we may provide on specific occasions when we are collecting or processing information about you, so that you are aware of how and why we are using the information. We may update this policy at any time. WHO IS USING YOUR PERSONAL DATA The University of Delhi is the &amp;ldquo;controller" for the information that we obtain from you or others as a result of your application for study in various programs. Access to your data will be provided to the University&amp;rsquo;s staff, including those based in the University&amp;rsquo;s colleges, who need to view it as part of their work in carrying out the purposes. We may also share it with the statutory bodies of the University. THE TYPES OF DATA WE HOLD ABOUT YOU The information we hold about you may include the following: Personal details such as name, title, address, telephone number, email address, date of birth, sex and gender identity, ID photograph (included within received documents), &amp;nbsp;educational details, information about household income, and details of patents/ guardian; Education (including the school(s), form college(s) and other colleges or universities you have attended and places where you have worked, the courses you have completed, dates of study and examination results); Other personal background information collected during the admissions process, e.g. whether you have been in care, your socio-economic classification and details of your parents&amp;rsquo; occupation and education; Information about your use of our IT systems; Visa, passport and immigration information; Funding and financial support information; Information about your use of our information and communications systems, including your communication preferences and</t>
        </is>
      </c>
    </row>
    <row r="13">
      <c r="A13" s="14" t="inlineStr">
        <is>
          <t>website interaction. Information about your socio-economic background We may also process the following "special categories" of more sensitive personal data: Information about your race or ethnicity, sexual orientation and religious beliefs; Information about your health, including any disability and/or medical condition; Information about criminal convictions and offences (if applicable to your course). &amp;nbsp; HOW THE UNIVERSITY OBTAINED YOUR DATA Most of the information we hold comes from your application, for example, via online application system/portals. &amp;nbsp;We may also collect additional information directly from you and from third parties, including referees, former schools, colleges and universities, and government departments and agencies. HOW THE UNIVERSITY USES YOUR DATA We process your data for the purpose of processing and assessing your application for study, and for purposes related to your application, such as assessing your eligibility for different programs.&amp;nbsp;We set out below those circumstances where it is necessary for us to process your data. We also need to process your data in order to meet our legitimate interests or the legitimate interests of others. Examples include, but are not limited to, the following: asking you to provide additional information on your application; and notifying you of changes to course information. &amp;nbsp; DATA SHARING WITH THIRD PARTIES In order to perform our contractual and other legal responsibilities or purposes, we may, where relevant and necessary, need to share your information with the following types of organisation: The college you have applied to or have been allocated to; Your school, college and/or training organisation; Your referees; External organisations offering University-sponsored services including student surveys; The governmental departments or agencies responsible for funding and student fellowships; If you have or are seeking a particular collaboration with a third party, for example,</t>
        </is>
      </c>
    </row>
    <row r="14">
      <c r="A14" s="14" t="inlineStr">
        <is>
          <t>because of an exchange scheme; Sponsors or benefactors of funding and financial support; Examination boards and awarding bodies; Testing services, including National Testing Agency (NTA)&amp;nbsp; etc. Third parties including your former employer(s) or educational establishment(s) &amp;nbsp;to obtain a reference or to verify the accuracy of a reference or other information you have submitted with or in support of your application; Where information is shared with third parties, we will seek to share the minimum amount necessary. All third-party service providers that process data on our behalf are required to take appropriate security measures to protect your data in line with our policies. We do not allow them to use your data for their own purposes. We permit them to process your data only for specified purposes and in accordance with our instructions. RETENTION PERIOD We will retain your data only for as long as we need it to meet academic and institutional purposes, including any relating to legal, accounting, or reporting requirements. &amp;nbsp;Details of the retention periods for different types of programs may vary as per the rules and guidelines of the University of Delhi. Depending on the circumstances and the nature of your request it may not be possible for us to do what you have asked, for example, where there is a statutory or contractual requirement for us to process your data and it would not be possible to fulfil our legal obligations if we were to stop. &amp;nbsp;However, where you have consented to the processing (for example, where you have asked us to send you certain types of communication), you can withdraw your consent at any time, by contacting your principal/head of the department. &amp;nbsp; KEEPING YOUR DATA UP-TO-DATE It is important that the data we hold about you is accurate and current. You can access, amend and delete your data yourself until the point at which you submit your application to the University. Please keep us informed of any changes after</t>
        </is>
      </c>
    </row>
    <row r="15">
      <c r="A15" s="14" t="inlineStr">
        <is>
          <t>you submit your application. CHANGES TO THIS PRIVACY POLICY We reserve the right to update this privacy policy at any time, and will seek to inform you of substantial updates. We may also notify you in other ways from time to time about the processing of your personal data. Last Updated: Wednesday 25-Aug-21 17:16:21 IST Spotlight Advt. No. R&amp;amp;P/307/2024 dated 03.10.2024 for the post of Assistant Professor in various Department : Result Notification for the Post of Assistant Professor in the Department of GRS (German) and Centre for Hindu Studies posted on Oct 16, 2026 Advertisement No. R&amp;amp;P/314/2026 for the post of Assistant Professor : Centre for Hindu Studies : Result Notification for the Post of Assistant Professor in the Department of GRS (German) and Centre for Hindu Studies posted on Oct 16, 2026 Notification for LDE - 2026 posted on Oct 15, 2026 Advertisement for the various Non-Teaching posts (Advt. No. R&amp;amp;P/312/2025) : Result Notification for Sports Coach posted on Oct 15, 2026 103rd Annual Convocation posted on Oct 14, 2026 Cyber सतर्कता Month (October 1- 31, 2026) posted on Oct 14, 2026 NEP: UGCF 2022 Syllabi of Courses of UGCF 2022 &amp;amp; related Notifications posted on Oct 14, 2026 Notification - Digital Life Certificate for pensioners/family pensioners of University of Delhi through Jeevan Pramaan posted on Oct 14, 2026 Extended Date for Financial Support Scheme 2026-27 : Financial Support Scheme (FSS) 2026-27 posted on Oct 12, 2026 Notification - Continuation of Vice Chancellor for the Second Term posted on Oct 8, 2026 Notification regarding the extension of last date for Inter College Migration for Academic Session 2026-2027 posted on Oct 7, 2026 Notification regarding implementation of revised rates of licence fee for commercial rates within the University Campus posted on Oct 1, 2026 Notification regarding Revision of Booking Payment Policy for University&amp;#039;s Venues to Recoveries Ensure Timely Procedure - Estate Section posted on Sep 30,</t>
        </is>
      </c>
    </row>
    <row r="16">
      <c r="A16" s="14" t="inlineStr">
        <is>
          <t>2026 Vice-Chancellor Internship Scheme (Part-time 2026) posted on Sep 29, 2026 Placement Drives - Dean Students&amp;#039; Welfare Office posted on Sep 22, 2026 DUSU Election 2026-2027 posted on Sep 19, 2026 Advertisement No. R&amp;amp;P/322/2026 for the post of Professor (Extension of the last date of up to 26.09.2026) posted on Sep 17, 2026 Advertisement No. R&amp;amp;P/313/2025 for the post of Associate Professor and Professor posted on Sep 17, 2026 Advertisement No. R&amp;amp;P/321/2026 for the post of Associate Professor (Extension of the last date of up to 26.09.2026) posted on Sep 17, 2026 Notification regarding Tagore Hall, Satyakam Bhawan, Room No. 22 Arts Faculty - Estate Section posted on Sep 17, 2026 Notification regarding booking of class room - Estate Section posted on Sep 17, 2026 Advisory - Restriction on the movement of vehicles on 18th and 19th September, 2026 due to the DUSU Election 2026-2027 posted on Sep 16, 2026 NCWEB Cut-Off Lists posted on Sep 7, 2026 Notification - Advt. No. Estab.IV/290/2021 dated 23.02.2021 stands cancelled as per Hon&amp;#039;ble High Court of Delhi Judgement dated 02.09.2026 posted on Sep 3, 2026 Extension of Last Date : Call for Research Proposals under Faculty Research Programme (FRP) 2026–2027 - Institution of Eminence posted on Aug 24, 2026 Notification - Last date of admissions for Academic Session 2026-27 posted on Aug 18, 2026 Internal Hackathon for University of Delhi -Smart India Hackathon (SIH) 2026 - Faculty of Technology (August 25, 2026) posted on Aug 18, 2026 3rd International Conference on Sustainable Power and Energy Research (ICSPER 2026) - Faculty of Technology &amp;amp; Department of Physics and Astrophysics (December 03 - 04, 2026) posted on Aug 18, 2026 Yantrika 2026: Innovate &amp;amp; Elevate (September 8-10, 2026) posted on Aug 14, 2026 Partition Horrors Remembrance Day ( August 14, 2026) posted on Aug 14, 2026 Advisory regarding unauthorized parking on the roadside posted on Aug 10, 2026 Advertisement No. R&amp;amp;P/317/2026</t>
        </is>
      </c>
    </row>
    <row r="17">
      <c r="A17" s="14" t="inlineStr">
        <is>
          <t>for the post of Associate Professor posted on Aug 10, 2026 Advertisement No. R&amp;amp;P/316/2026 for the post of Assistant Professor dated 17.03.2026 posted on Aug 10, 2026 World Congress on Nanomedicine - Institute of Nano Medical Sciences (September 27-30, 2026) posted on Jul 30, 2026 Anti-Ragging Press Release, Guidelines, Circular, and Poster posted on Jul 28, 2026 Faculty Development Program (FDP) on topic &amp;quot;Computational Modeling, Simulation and AI with MATLAB (August 17-21, 2026) posted on Jul 27, 2026 Press Release - Undergraduate Admissions Update - Allocation Round - I for the Academic Session 2026-2027 posted on Jul 16, 2026 Notification for accommodation allotment 2026-27 posted on Jul 10, 2026 Notification - Increase of credits for Research/Entrepreneurship track of 4th Year UGCF, 2022 with effect from academic session 2026-27 onwards posted on Jul 10, 2026 Advertisement No. R&amp;amp;P/318/2026 for the post of Professor posted on Jul 8, 2026 Notification regarding re-appointment of Prof. Yogesh Singh as Vice-Chancellor, University of Delhi for a second term of five years posted on Jul 7, 2026 Advt. No. R&amp;amp;P/305/2024 dated 27.09.2024 for the post of Assistant Professor posted on Jul 2, 2026 Advt. No. R&amp;amp;P/309/2024 dated 03.10.2024 for the post of Professor in various Department posted on Jul 2, 2026 Academic Calendar 2026-27 posted on Jul 2, 2026 Advt. No. R&amp;amp;P/308/2024 dated 03.10.2024 for the post of Associate Professor in various Department posted on Jul 2, 2026 योग विज्ञान में निहित है सभी समस्याओं का समाधानः प्रधान posted on Jun 22, 2026 क्यूएस वर्ल्ड यूनिवर्सिटी रैंकिंग 2027 में 6 अंक उठी डीयू की ग्लोबल रैंकिंग posted on Jun 19, 2026 Admission Open in Seventh Batch of &amp;quot;Certificate Course on Patents” offered by Research, Innovation and Entrepreneurship Council posted on Jun 19, 2026 ICC Election 2025-26 posted on Jun 17, 2026 One month Summer Internship opportunity - Design Innovation Centre, DU posted on Jun 15, 2026 12th International</t>
        </is>
      </c>
    </row>
    <row r="18">
      <c r="A18" s="14" t="inlineStr">
        <is>
          <t>Day of Yoga - Gandhi Bhawan (June 15-22, 2025) posted on Jun 12, 2026 Notice and Interviews schedule :Press Release and Advertisement for the post of Assistant Professor as guest faculty in NCWEB Teaching Centre for the Academic Session 2026-27 - NCWEB posted on Jun 10, 2026 Notification for Refund of fees dated 01.06.2026 posted on Jun 1, 2026 Advertisement No. R&amp;amp;P/320/2026 for the post of Associate Professor and Professor - Faculty of Technology : Extension of last date up to 02.05.2026 (Edit option is available till the last date of advertisement) posted on Apr 16, 2026 Advertisement No. R&amp;amp;P/319/2026 for the post of Assistant Professor - Faculty of Technology : Extension of last date up to 02.05.2026 (Edit option is available till the last date of advertisement) posted on Apr 16, 2026 Department of Botany, University of Delhi’s started sustainability initiative in various colleges and public places posted on Apr 10, 2026 India’s First Carbon Garden established in Department of Botany, University of Delhi posted on Apr 9, 2026 Notification regarding the prior written intimation and permission from the Competent Authority is mandatory for any assembly, gathering, demonstration, dharna, etc. posted on Mar 23, 2026 Can't find what you're looking for? Try our extensive database of FAQs or check our knowledgebase to know more... View Knowledgebase &amp;lt; View Previous page: Department of Medicine You're viewing: Privacy Policy - Admission View Next page: News &amp; Events &amp;gt; Want to know more about University of Delhi? Ready to Start your exciting Journey? Check the registration process for academic session 2026-27 on the link below Admission Website Request Info Schedule a Tour --&gt; Work with DU --&gt; IT Services (DUCC) Placement Cell HR &amp; Trainings Cyber Security Events at DU --&gt; Subscribe to our email updates Subscribe --&gt; DU Map University of Delhi North Campus, Delhi - 110007 South Campus, Benito Juarez Marg, South Moti Bagh, New Delhi, Delhi - 110021 &amp;nbsp;</t>
        </is>
      </c>
    </row>
    <row r="19">
      <c r="A19" s="14" t="inlineStr">
        <is>
          <t>&amp;nbsp; &amp;nbsp; &amp;nbsp; &amp;nbsp; &amp;nbsp; &amp;nbsp; &amp;nbsp; &amp;nbsp; &amp;nbsp; © Copyrights - University of Delhi Powered by Samarth दिल्लीविश्वविद्यालय.विद्या.भारत दिवि.विद्या.भारत डीयू.विद्या.भारत About DU About DU University Handbooks Courses Offered Alumni DU Governance Administration Committees Guidelines &amp; Notifications Rules &amp; Policies Contact Us Locate Colleges Telephone Directory Student Grievance Redressal Important Links Ministry of Education University Grants Commission © Copyright 2020-2021 Privacy Policy Disclaimer Site Map Maintained by DUCC OWASP Top 10, 2017 Last Updated on Wednesday 25-Aug-21 17:16:21 IST Supports:&amp;nbsp;&amp;nbsp;&amp;nbsp;&amp;nbsp;Firefox 2.0+ &amp;nbsp;&amp;nbsp;&amp;nbsp;&amp;nbsp;Google Chrome 6.0+ &amp;nbsp;&amp;nbsp;&amp;nbsp;&amp;nbsp;Internet Explorer 8.0+ &amp;nbsp;&amp;nbsp;&amp;nbsp;&amp;nbsp;Safari 4.0+</t>
        </is>
      </c>
    </row>
    <row r="20">
      <c r="A20" s="14">
        <f>==== PAGE: https://du.ac.in/index.php?page=privacy-policy =====</f>
        <v/>
      </c>
    </row>
    <row r="21">
      <c r="A21" s="14" t="inlineStr">
        <is>
          <t>Privacy Policy - Delhi University Institution of Eminence हिंदी English -A A A+ &amp;nbsp;NAAC &amp;nbsp;डीयू कुलगीत &amp;nbsp;DU COVID CARE --&gt; &amp;nbsp;Student Grievance Redressal &amp;nbsp;Samarth@DU &amp;nbsp;UoD Foundation &amp;nbsp;Udhmodya Foundation Home&amp;nbsp; Menu Colleges Departments --&gt; Important Links --&gt; --&gt; Home About DU About DU: Overview Vision and Mission VC&amp;#39;s Messages &amp;amp; Videos DU Ranking Social Outreach DU-NIRF DU - NAAC DU e-Journals University Handbooks Annual Reports University Calendar DU Gallery DU Memoir Acts, Statutes and Ordinances Institutional Development Plan Strategic Plan 2024-2047 Best Practices 2024 DU Archives Academics Faculties Departments Centers/Institutes Delhi School of Economics Campus of Open Learning Colleges Courses &amp;amp; Syllabi International Relations International Students Virtual Learning Competence Enhancement Scheme (CES) Non-Collegiate Women&amp;#39;s Education Board Academic Calendar Faculty Members Adjunct Faculty Members NEP: 2020 Courses &amp;amp; Syllabi NEP: UGCF 2022 Syllabi NEP: PGCF 2024 Syllabi Revised-syllabi 2019-2020 Revised CBCS Syllabi Under-Graduate Post-Graduate Ph.D. M.Phil. Other Courses Research Research, Innovation and Entrepreneurship Council Research Profile Institutional Human Ethics Committee Intellectual Property Rights Prevention of Plagiarism &amp;amp; Shodhganga - Thesis Repository Research Ordinances and Gazette Notification JRF to SRF link for online proforma Research Opportunities Technology Transfer DU/DST Purse Grants Awards and Honours Major Areas of Research Ph.D. extension online portal link Academic Integrity and Ethical Guidelines Guidelines for Sponsored Research Projects and Consultancy Guidelines for online thesis submission during COVID-19 PMRF Guidelines Memorandum of Understanding (MoU) Libraries DU Library System DU eLibrary Search for Articles e-Resources (A-Z) Subject-wise e-Resources Information Literacy E-Books Research Information Management System Amenities Centre for Professional Development in</t>
        </is>
      </c>
    </row>
    <row r="22">
      <c r="A22" s="14" t="inlineStr">
        <is>
          <t>Higher Education Central Placement Computer Centre Conference Centre Delhi University Women&amp;#39;s Association (DUWA) Directorate of Hindi Medium Implementation Engineering Office Foreign Students&amp;#39; Registry Gandhi Bhawan Health Centre Hostels International Guest House Rajbhasha Cell University Guest House University Press University Radio (DUCR 90.4) University Science Instrumentation Centre University Garden World University Service (WUS) - DUC Alumni Alumni Website Administration Vice Chancellor Director South Campus Dean of Colleges Treasurer Registrar Finance Officer Director, Campus of Open Learning Proctor Public Relations Officer Special Cell Chief Vigilance Officer Librarian Deans Administrative Offices Committees Statutory Bodies Ombudsperson Organogram Chart Controller of Examination Campuses North Campus South Campus East Campus West Campus Tenders Central Office Deptts/Centres/Hostels Colleges Engineering Department General Branch News &amp;amp; Events News Events Admissions &amp; Examinations 2020 Home &amp;nbsp;&amp;nbsp;&amp;nbsp; Goto Old Website -A A A+ &amp;nbsp;&amp;nbsp;&amp;nbsp;&amp;nbsp;&amp;nbsp;&amp;nbsp; English &amp;nbsp;&amp;nbsp;&amp;nbsp;&amp;nbsp;&amp;nbsp;&amp;nbsp; Hindi Important Links Colleges &amp;nbsp;&amp;nbsp;&amp;nbsp;&amp;nbsp; Departments &amp;nbsp;&amp;nbsp;&amp;nbsp;&amp;nbsp; Important Links A Acharya Narendra Dev College&amp;nbsp; Aditi Mahavidyalaya&amp;nbsp; Aryabhatta College &amp;nbsp; Atma Ram Sanatan Dharma College&amp;nbsp; B Bhagini Nivedita College&amp;nbsp; Bharati College&amp;nbsp; Bhaskaracharya College of Applied Sciences&amp;nbsp; Bhim Rao Ambedkar College&amp;nbsp; C College of Art&amp;nbsp; College of Vocational Studies&amp;nbsp; D Daulat Ram College&amp;nbsp; Delhi College of Arts &amp;amp; Commerce&amp;nbsp; Deshbandhu College(Morning)&amp;nbsp; Deen Dayal Upadhyaya College&amp;nbsp; Durga Bai Deshmukh College of Special Edu.(VI)&amp;nbsp; Dyal Singh College&amp;nbsp; Dyal Singh College (Evening)&amp;nbsp; G Gargi College&amp;nbsp; F --&gt; H Hans Raj College&amp;nbsp; Hindu College&amp;nbsp; I Indira Gandhi Institute of Physical Education &amp;amp; Sports Sciences&amp;nbsp; Indraprastha</t>
        </is>
      </c>
    </row>
    <row r="23">
      <c r="A23" s="14" t="inlineStr">
        <is>
          <t>College for Women&amp;nbsp; Institute of Home Economics&amp;nbsp; J Janki Devi Memorial College&amp;nbsp; Jesus &amp;amp; Mary College&amp;nbsp; K Kalindi College for Women&amp;nbsp; Kamla Nehru College for Women&amp;nbsp; Keshav Mahavidyalaya&amp;nbsp; Kirori Mal College&amp;nbsp; L Lady Irwin College&amp;nbsp; Lady Shri Ram College for Women&amp;nbsp; Lakshmi Bai College for Women&amp;nbsp; M Maharaja Agarsen College&amp;nbsp; Maharshi Valmiki College of Education&amp;nbsp; Maitreyi College for Women&amp;nbsp; Mata Sundri College for Women&amp;nbsp; Miranda House&amp;nbsp; Moti Lal Nehru College&amp;nbsp; Moti Lal Nehru College (Evening)&amp;nbsp; P P.G.D.A.V. College&amp;nbsp; P.G.D.A.V. College (Evening)&amp;nbsp; R Rajdhani College&amp;nbsp; Rajkumari Amrit Kaur College of Nursing&amp;nbsp; Ram Lal Anand College&amp;nbsp; Ramanujan College&amp;nbsp; Ramjas College&amp;nbsp; U --&gt; N --&gt; S Satyawati College&amp;nbsp; Satyawati College (Evening)&amp;nbsp; School of Open Learning ( Erstwhile School of Correspondence &amp;amp; Continuing Education)&amp;nbsp; Shaheed Bhagat Singh College&amp;nbsp; Shaheed Bhagat Singh College (Evening)&amp;nbsp; Shaheed Rajguru College of Applied Sciences for Women&amp;nbsp; Shaheed Sukhdev College of Business Studies&amp;nbsp; Shivaji College&amp;nbsp; Shri Ram College of Commerce&amp;nbsp; Shyam Lal College&amp;nbsp; Shyam Lal College (Evening)&amp;nbsp; Shyama Prasad Mukherji College for Women&amp;nbsp; Sri Aurobindo College&amp;nbsp; Sri Aurobindo College (Evening)&amp;nbsp; Sri Guru Gobind Singh College of Commerce&amp;nbsp; Sri Guru Nanak Dev Khalsa College&amp;nbsp; Sri Guru Tegh Bahadur Khalsa College&amp;nbsp; Sri Venkateswara College&amp;nbsp; St. Stephen's College&amp;nbsp; Swami Shraddhanand College&amp;nbsp; V Vivekananda College&amp;nbsp; Z Zakir Husain Delhi College&amp;nbsp; Zakir Husain Post Graduate Evening College&amp;nbsp; Other Institutions Ahilya Bai College of Nursing&amp;nbsp; Amar Jyoti Institute of Physiotherapy&amp;nbsp; Ayurvedic &amp;amp; Unani Tibia College&amp;nbsp; Chacha Nehru Bal Chikitsalaya&amp;nbsp; College of Nursing at Army Hospital (R&amp;amp;R)&amp;nbsp; Delhi Institute of Pharmaceutical Sciences and Research&amp;nbsp;</t>
        </is>
      </c>
    </row>
    <row r="24">
      <c r="A24" s="14" t="inlineStr">
        <is>
          <t>Florence Nightingale College of Nursing&amp;nbsp; Holy Family College of Nursing&amp;nbsp; Lady Hardinge Medical College&amp;nbsp; Maulana Azad Institute of Dental Sciences&amp;nbsp; Maulana Azad Medical College&amp;nbsp; Nehru Homeopathic Medical College &amp;amp; Hospital&amp;nbsp; Netaji Subhash Institute of Technology&amp;nbsp; --&gt; National Institute of Health &amp;amp; Family Welfare&amp;nbsp; Pt. Deendayal Upadhyaya Institute of Physically Handicapped&amp;nbsp; Rajkumari Amrit Kaur College of Nursing&amp;nbsp; Kasturba Hospital&amp;nbsp; Institute of Human Behaviour &amp;amp; Allied Sciences&amp;nbsp; G.B. Pant Hospital&amp;nbsp; All India Institute of Ayurveda&amp;nbsp; School of Rehabilitation Sciences&amp;nbsp; University College of Medical Sciences&amp;nbsp; Vallabhbhai Patel Chest Institute&amp;nbsp; Faculty of Applied Social Sciences and Humanities Department of Finance and Business Economics Faculty of Commerce &amp;amp; Business Studies Department of Commerce Faculty of Education Department of Education Faculty of Law Department of Law Faculty of Arts Department of Arabic Department of Buddhist Studies Department of Germanic &amp;amp; Romance Studies Department of Hindi Department of Library &amp;amp; Information Science Department of Linguistics Department of Indian Languages and Literary Studies Department of Persian Department of Philosophy Department of Psychology Department of Punjabi Department of Sanskrit Department of Slavonic &amp;amp; Finno-Ugrian Studies Department of Urdu Department of English Faculty of Interdisciplinary &amp;amp; Applied Sciences Department of Biochemistry Department of Biophysics Department of Electronic Science Department of Genetics Department of Microbiology Department of Physical Education &amp;amp; Sports Sciences Department of Plant Molecular Biology Faculty of Music Department of Music Department of Fine Arts Faculty of Management Studies Department of Business Management &amp;amp; Industrial Administration Faculty of Science Department of Anthropology Department of Botany Department of Chemistry Department of</t>
        </is>
      </c>
    </row>
    <row r="25">
      <c r="A25" s="14" t="inlineStr">
        <is>
          <t>Environmental Studies Department of Geology Department of Home Science Department of Nursing Department of Pharmacy Department of Physics &amp;amp; Astrophysics Department of Zoology Faculty of Technology Department of Computer Engineering Department of Electrical Engineering Department of Electronics &amp;amp; Communication Engineering Faculty of Mathematical Sciences Department of Computer Science Department of Mathematics Department of Operational Research Department of Statistics Faculty of Social Sciences Department of Adult, Continuing Education &amp;amp; Extension Department of African Studies Delhi School of Journalism Department of East Asian Studies Department of Economics Department of Geography Department of History Department of Political Science Department of Social Work Department of Sociology Faculty of Open Learning Distance &amp;amp; Continuing Education Affiliated Faculties Department of Ayurvedic &amp;amp; Unani Medicine Department of Homeopathic Medicine Faculty of Medical Sciences Department of Anaesthesiology &amp;amp; Critical Care Department of Anatomy Department of Medical Bio-Chemistry Department of Community Medicine Department of Dermatology, Venereology &amp;amp; Leprosy Department of Dental Sciences Department of Forensic Medicine Department of Obstetrics &amp;amp; Gyanaecology Department of Medicine Department of Medical Microbiology Department of Opthalmology Department of Orthopaedics Department of Otolaryngology Department of Paediatrics Department of Pathology Department of Pharmacology Department of Physiology Department of Psychiatry Department of Pulmonary Medicine Department of Radiology, Radiotherapy, Radiodiagnosis &amp;amp; Radiation Medicine Department of Surgery Students Corner Academic Resources (Previous Year Question Papers etc.) Hostels Student Activities - NSS , NCC &amp; Sports DUSU Equal Opportunity Cell Opportunities / Scholarships Fellowships Forms Anti-Ragging SC/ST Student Grievance&amp;nbsp; Foreign Students' Registry&amp;nbsp; Central Placement Cell&amp;nbsp;</t>
        </is>
      </c>
    </row>
    <row r="26">
      <c r="A26" s="14" t="inlineStr">
        <is>
          <t>NME-ICT&amp;nbsp; Digi Locker NAD Portal&amp;nbsp; National Scholarship Portal&amp;nbsp; UGC Guidelines for Student Grievances Regulations, 2023&amp;nbsp; &amp;nbsp; Helpline for Women (24x7) Office Memorandum - 24x7 helpline for women in distress Helpline no. 7827170170 www.ncwwomenhelpline.in&amp;nbsp;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Staff Jobs &amp; Opportunities HR &amp; Trainings Notifications --&gt; Statutory Bodies Internal Complaints Committee (ICC) (Prevention of Sexual Harassment) Sanctioned Posts Welfare Measure Forms Integrity Pledge-Central Vigilance Commission&amp;nbsp; If complainants fail to get internal redress, DPG (https://dpg.gov.in) can be approached for redress of grievances&amp;nbsp; Office Orders / Circulars / Guidelines Rules &amp; Policies Acts, Statutes and Ordinances Guidelines and Notifications Procurement Policy Notification (Archive) Estate Estate Website Online Portal for Premises Booking Notification - Parking Sticker , Online Application Link Application form for Pensioner's ID Card Notification - Employee Identity Card Finance Financial Estimates/Annual Accounts/Expenditure Details/ Notifications/Minutes/Rules/E-procurement Visitors Live a life free from addiction. Take the pledge. &amp;nbsp; Study in India&amp;nbsp; Tenders and Quotations Rules, Policies &amp; Ordinances Guidelines and Notifications --&gt; Jobs &amp; Opportunities RTI Cyber Security &amp; Awareness&amp;nbsp; Cyber Security Guidelines for Government Employees&amp;nbsp; &amp;nbsp; --&gt; MY Bharat Portal&amp;nbsp; "DIGITAL SANSAD" Mobile App&amp;nbsp; &amp;nbsp; National Cyber Crime Reporting Portal&amp;nbsp; --&gt; National Voters' Service Portal&amp;nbsp; SSR of Electoral Rolls 2021 --&gt; Swayam Portal&amp;nbsp; Guidelines for SEDGs&amp;nbsp; ePathshala Portal&amp;nbsp; Start-Ups Incubated on Campus&amp;nbsp; &amp;nbsp; BHIM App&amp;nbsp;</t>
        </is>
      </c>
    </row>
    <row r="27">
      <c r="A27" s="14" t="inlineStr">
        <is>
          <t>Directions - IT Act, 2000&amp;nbsp; &amp;nbsp; ICT Initiatives of MHRD&amp;nbsp; mSeva AppStore&amp;nbsp; Cyber Security Handbook For "Mahila Suraksha"&amp;nbsp; &amp;nbsp; Regarding book “Swachh Bharat: Sankalp se Siddhi" EVM-VVPAT - Election Commission of India&amp;nbsp; Project Management Launched on 15 August, 2018 --&gt; Application form for Refund of Fees&amp;nbsp; &amp;nbsp; Alumni - Related Forms&amp;nbsp; Alumni - Related ExamBranch Service Windows How to get your original degree&amp;nbsp; Connect to India Programme&amp;nbsp; --&gt; Campus Harmony &amp; Well Being e-Samadhan&amp;nbsp; Student Grievance Redressal Committee (SGRC)&amp;nbsp; Details of OMBUDSPERSON&amp;nbsp; Internal Quality Assurance Cell&amp;nbsp; Alumni Alumni Ministry of Statistics and Program Implementation, GoI MoSPI Website&amp;nbsp; e-Sankhyiki Portal&amp;nbsp; Microdata&amp;nbsp; Data Viz. Page&amp;nbsp;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--&gt; Related Pages View Colleges View Departments --&gt; --&gt; --&gt; Recent Pages you've visted --&gt; --&gt; --&gt; Delhi University Computer Centre --&gt; Department of Arts --&gt; IIC Research Lab --&gt; Vice Chancellor --&gt; Chancellor --&gt; About DU --&gt; List of Departments --&gt; Faculties --&gt; Press Releases --&gt; South Campus --&gt; Hansraj College --&gt; North Campus --&gt; Department Information --&gt; Revised-Sylabbi 2019-20 --&gt; Under-Graduate --&gt; Post-Graduate --&gt; --&gt; --&gt; --&gt; Clear my--&gt; --&gt; Or Hide this--&gt; --&gt; --&gt; --&gt; --&gt; --&gt; You are here:&amp;nbsp; Privacy Policy Share this --&gt; Privacy Policy- Admission &amp;nbsp; &amp;nbsp; Privacy Policy- Generic &amp;nbsp; &amp;nbsp; Last Updated: Wednesday 25-Aug-21 17:15:48 IST Spotlight Advt. No. R&amp;amp;P/307/2024 dated 03.10.2024 for the post of Assistant Professor in various Department : Result Notification for the Post of Assistant Professor in the Department of GRS (German) and Centre for Hindu Studies</t>
        </is>
      </c>
    </row>
    <row r="28">
      <c r="A28" s="14" t="inlineStr">
        <is>
          <t>posted on Oct 16, 2026 Advertisement No. R&amp;amp;P/314/2026 for the post of Assistant Professor : Centre for Hindu Studies : Result Notification for the Post of Assistant Professor in the Department of GRS (German) and Centre for Hindu Studies posted on Oct 16, 2026 Notification for LDE - 2026 posted on Oct 15, 2026 Advertisement for the various Non-Teaching posts (Advt. No. R&amp;amp;P/312/2025) : Result Notification for Sports Coach posted on Oct 15, 2026 103rd Annual Convocation posted on Oct 14, 2026 Cyber सतर्कता Month (October 1- 31, 2026) posted on Oct 14, 2026 NEP: UGCF 2022 Syllabi of Courses of UGCF 2022 &amp;amp; related Notifications posted on Oct 14, 2026 Notification - Digital Life Certificate for pensioners/family pensioners of University of Delhi through Jeevan Pramaan posted on Oct 14, 2026 Extended Date for Financial Support Scheme 2026-27 : Financial Support Scheme (FSS) 2026-27 posted on Oct 12, 2026 Notification - Continuation of Vice Chancellor for the Second Term posted on Oct 8, 2026 Notification regarding the extension of last date for Inter College Migration for Academic Session 2026-2027 posted on Oct 7, 2026 Notification regarding implementation of revised rates of licence fee for commercial rates within the University Campus posted on Oct 1, 2026 Notification regarding Revision of Booking Payment Policy for University&amp;#039;s Venues to Recoveries Ensure Timely Procedure - Estate Section posted on Sep 30, 2026 Vice-Chancellor Internship Scheme (Part-time 2026) posted on Sep 29, 2026 Placement Drives - Dean Students&amp;#039; Welfare Office posted on Sep 22, 2026 DUSU Election 2026-2027 posted on Sep 19, 2026 Advertisement No. R&amp;amp;P/322/2026 for the post of Professor (Extension of the last date of up to 26.09.2026) posted on Sep 17, 2026 Advertisement No. R&amp;amp;P/313/2025 for the post of Associate Professor and Professor posted on Sep 17, 2026 Advertisement No. R&amp;amp;P/321/2026 for the post of Associate Professor (Extension of the last date of up to</t>
        </is>
      </c>
    </row>
    <row r="29">
      <c r="A29" s="14" t="inlineStr">
        <is>
          <t>26.09.2026) posted on Sep 17, 2026 Notification regarding Tagore Hall, Satyakam Bhawan, Room No. 22 Arts Faculty - Estate Section posted on Sep 17, 2026 Notification regarding booking of class room - Estate Section posted on Sep 17, 2026 Advisory - Restriction on the movement of vehicles on 18th and 19th September, 2026 due to the DUSU Election 2026-2027 posted on Sep 16, 2026 NCWEB Cut-Off Lists posted on Sep 7, 2026 Notification - Advt. No. Estab.IV/290/2021 dated 23.02.2021 stands cancelled as per Hon&amp;#039;ble High Court of Delhi Judgement dated 02.09.2026 posted on Sep 3, 2026 Extension of Last Date : Call for Research Proposals under Faculty Research Programme (FRP) 2026–2027 - Institution of Eminence posted on Aug 24, 2026 Notification - Last date of admissions for Academic Session 2026-27 posted on Aug 18, 2026 Internal Hackathon for University of Delhi -Smart India Hackathon (SIH) 2026 - Faculty of Technology (August 25, 2026) posted on Aug 18, 2026 3rd International Conference on Sustainable Power and Energy Research (ICSPER 2026) - Faculty of Technology &amp;amp; Department of Physics and Astrophysics (December 03 - 04, 2026) posted on Aug 18, 2026 Yantrika 2026: Innovate &amp;amp; Elevate (September 8-10, 2026) posted on Aug 14, 2026 Partition Horrors Remembrance Day ( August 14, 2026) posted on Aug 14, 2026 Advisory regarding unauthorized parking on the roadside posted on Aug 10, 2026 Advertisement No. R&amp;amp;P/317/2026 for the post of Associate Professor posted on Aug 10, 2026 Advertisement No. R&amp;amp;P/316/2026 for the post of Assistant Professor dated 17.03.2026 posted on Aug 10, 2026 World Congress on Nanomedicine - Institute of Nano Medical Sciences (September 27-30, 2026) posted on Jul 30, 2026 Anti-Ragging Press Release, Guidelines, Circular, and Poster posted on Jul 28, 2026 Faculty Development Program (FDP) on topic &amp;quot;Computational Modeling, Simulation and AI with MATLAB (August 17-21, 2026) posted on Jul 27, 2026 Press Release - Undergraduate</t>
        </is>
      </c>
    </row>
    <row r="30">
      <c r="A30" s="14" t="inlineStr">
        <is>
          <t>Admissions Update - Allocation Round - I for the Academic Session 2026-2027 posted on Jul 16, 2026 Notification for accommodation allotment 2026-27 posted on Jul 10, 2026 Notification - Increase of credits for Research/Entrepreneurship track of 4th Year UGCF, 2022 with effect from academic session 2026-27 onwards posted on Jul 10, 2026 Advertisement No. R&amp;amp;P/318/2026 for the post of Professor posted on Jul 8, 2026 Notification regarding re-appointment of Prof. Yogesh Singh as Vice-Chancellor, University of Delhi for a second term of five years posted on Jul 7, 2026 Advt. No. R&amp;amp;P/305/2024 dated 27.09.2024 for the post of Assistant Professor posted on Jul 2, 2026 Advt. No. R&amp;amp;P/309/2024 dated 03.10.2024 for the post of Professor in various Department posted on Jul 2, 2026 Academic Calendar 2026-27 posted on Jul 2, 2026 Advt. No. R&amp;amp;P/308/2024 dated 03.10.2024 for the post of Associate Professor in various Department posted on Jul 2, 2026 योग विज्ञान में निहित है सभी समस्याओं का समाधानः प्रधान posted on Jun 22, 2026 क्यूएस वर्ल्ड यूनिवर्सिटी रैंकिंग 2027 में 6 अंक उठी डीयू की ग्लोबल रैंकिंग posted on Jun 19, 2026 Admission Open in Seventh Batch of &amp;quot;Certificate Course on Patents” offered by Research, Innovation and Entrepreneurship Council posted on Jun 19, 2026 ICC Election 2025-26 posted on Jun 17, 2026 One month Summer Internship opportunity - Design Innovation Centre, DU posted on Jun 15, 2026 12th International Day of Yoga - Gandhi Bhawan (June 15-22, 2025) posted on Jun 12, 2026 Notice and Interviews schedule :Press Release and Advertisement for the post of Assistant Professor as guest faculty in NCWEB Teaching Centre for the Academic Session 2026-27 - NCWEB posted on Jun 10, 2026 Notification for Refund of fees dated 01.06.2026 posted on Jun 1, 2026 Advertisement No. R&amp;amp;P/320/2026 for the post of Associate Professor and Professor - Faculty of Technology : Extension of last date up to 02.05.2026 (Edit option is available till the last date of</t>
        </is>
      </c>
    </row>
    <row r="31">
      <c r="A31" s="14" t="inlineStr">
        <is>
          <t>advertisement) posted on Apr 16, 2026 Advertisement No. R&amp;amp;P/319/2026 for the post of Assistant Professor - Faculty of Technology : Extension of last date up to 02.05.2026 (Edit option is available till the last date of advertisement) posted on Apr 16, 2026 Department of Botany, University of Delhi’s started sustainability initiative in various colleges and public places posted on Apr 10, 2026 India’s First Carbon Garden established in Department of Botany, University of Delhi posted on Apr 9, 2026 Notification regarding the prior written intimation and permission from the Competent Authority is mandatory for any assembly, gathering, demonstration, dharna, etc. posted on Mar 23, 2026 Can't find what you're looking for? Try our extensive database of FAQs or check our knowledgebase to know more... View Knowledgebase &amp;lt; View Previous page: Department of Medicine You're viewing: Privacy Policy View Next page: News &amp; Events &amp;gt; Want to know more about University of Delhi? Ready to Start your exciting Journey? Check the registration process for academic session 2026-27 on the link below Admission Website Request Info Schedule a Tour --&gt; Work with DU --&gt; IT Services (DUCC) Placement Cell HR &amp; Trainings Cyber Security Events at DU --&gt; Subscribe to our email updates Subscribe --&gt; DU Map University of Delhi North Campus, Delhi - 110007 South Campus, Benito Juarez Marg, South Moti Bagh, New Delhi, Delhi - 110021 &amp;nbsp; &amp;nbsp; &amp;nbsp; &amp;nbsp; &amp;nbsp; &amp;nbsp; &amp;nbsp; &amp;nbsp; &amp;nbsp; &amp;nbsp; © Copyrights - University of Delhi Powered by Samarth दिल्लीविश्वविद्यालय.विद्या.भारत दिवि.विद्या.भारत डीयू.विद्या.भारत About DU About DU University Handbooks Courses Offered Alumni DU Governance Administration Committees Guidelines &amp; Notifications Rules &amp; Policies Contact Us Locate Colleges Telephone Directory Student Grievance Redressal Important Links Ministry of Education University Grants Commission © Copyright 2020-2021 Privacy Policy Disclaimer Site Map Maintained by DUCC OWASP Top 10,</t>
        </is>
      </c>
    </row>
    <row r="32">
      <c r="A32" s="14" t="inlineStr">
        <is>
          <t>2017 Last Updated on Wednesday 25-Aug-21 17:15:48 IST Supports:&amp;nbsp;&amp;nbsp;&amp;nbsp;&amp;nbsp;Firefox 2.0+ &amp;nbsp;&amp;nbsp;&amp;nbsp;&amp;nbsp;Google Chrome 6.0+ &amp;nbsp;&amp;nbsp;&amp;nbsp;&amp;nbsp;Internet Explorer 8.0+ &amp;nbsp;&amp;nbsp;&amp;nbsp;&amp;nbsp;Safari 4.0+</t>
        </is>
      </c>
    </row>
    <row r="33">
      <c r="A33" s="14">
        <f>==== PAGE: https://du.ac.in/index.php?page=privacy-policy-generic =====</f>
        <v/>
      </c>
    </row>
    <row r="34">
      <c r="A34" s="14" t="inlineStr">
        <is>
          <t>Privacy Policy - Generic - Delhi University Institution of Eminence हिंदी English -A A A+ &amp;nbsp;NAAC &amp;nbsp;डीयू कुलगीत &amp;nbsp;DU COVID CARE --&gt; &amp;nbsp;Student Grievance Redressal &amp;nbsp;Samarth@DU &amp;nbsp;UoD Foundation &amp;nbsp;Udhmodya Foundation Home&amp;nbsp; Menu Colleges Departments --&gt; Important Links --&gt; --&gt; Home About DU About DU: Overview Vision and Mission VC&amp;#39;s Messages &amp;amp; Videos DU Ranking Social Outreach DU-NIRF DU - NAAC DU e-Journals University Handbooks Annual Reports University Calendar DU Gallery DU Memoir Acts, Statutes and Ordinances Institutional Development Plan Strategic Plan 2024-2047 Best Practices 2024 DU Archives Academics Faculties Departments Centers/Institutes Delhi School of Economics Campus of Open Learning Colleges Courses &amp;amp; Syllabi International Relations International Students Virtual Learning Competence Enhancement Scheme (CES) Non-Collegiate Women&amp;#39;s Education Board Academic Calendar Faculty Members Adjunct Faculty Members NEP: 2020 Courses &amp;amp; Syllabi NEP: UGCF 2022 Syllabi NEP: PGCF 2024 Syllabi Revised-syllabi 2019-2020 Revised CBCS Syllabi Under-Graduate Post-Graduate Ph.D. M.Phil. Other Courses Research Research, Innovation and Entrepreneurship Council Research Profile Institutional Human Ethics Committee Intellectual Property Rights Prevention of Plagiarism &amp;amp; Shodhganga - Thesis Repository Research Ordinances and Gazette Notification JRF to SRF link for online proforma Research Opportunities Technology Transfer DU/DST Purse Grants Awards and Honours Major Areas of Research Ph.D. extension online portal link Academic Integrity and Ethical Guidelines Guidelines for Sponsored Research Projects and Consultancy Guidelines for online thesis submission during COVID-19 PMRF Guidelines Memorandum of Understanding (MoU) Libraries DU Library System DU eLibrary Search for Articles e-Resources (A-Z) Subject-wise e-Resources Information Literacy E-Books Research Information Management System Amenities Centre for Professional</t>
        </is>
      </c>
    </row>
    <row r="35">
      <c r="A35" s="14" t="inlineStr">
        <is>
          <t>Development in Higher Education Central Placement Computer Centre Conference Centre Delhi University Women&amp;#39;s Association (DUWA) Directorate of Hindi Medium Implementation Engineering Office Foreign Students&amp;#39; Registry Gandhi Bhawan Health Centre Hostels International Guest House Rajbhasha Cell University Guest House University Press University Radio (DUCR 90.4) University Science Instrumentation Centre University Garden World University Service (WUS) - DUC Alumni Alumni Website Administration Vice Chancellor Director South Campus Dean of Colleges Treasurer Registrar Finance Officer Director, Campus of Open Learning Proctor Public Relations Officer Special Cell Chief Vigilance Officer Librarian Deans Administrative Offices Committees Statutory Bodies Ombudsperson Organogram Chart Controller of Examination Campuses North Campus South Campus East Campus West Campus Tenders Central Office Deptts/Centres/Hostels Colleges Engineering Department General Branch News &amp;amp; Events News Events Admissions &amp; Examinations 2020 Home &amp;nbsp;&amp;nbsp;&amp;nbsp; Goto Old Website -A A A+ &amp;nbsp;&amp;nbsp;&amp;nbsp;&amp;nbsp;&amp;nbsp;&amp;nbsp; English &amp;nbsp;&amp;nbsp;&amp;nbsp;&amp;nbsp;&amp;nbsp;&amp;nbsp; Hindi Important Links Colleges &amp;nbsp;&amp;nbsp;&amp;nbsp;&amp;nbsp; Departments &amp;nbsp;&amp;nbsp;&amp;nbsp;&amp;nbsp; Important Links A Acharya Narendra Dev College&amp;nbsp; Aditi Mahavidyalaya&amp;nbsp; Aryabhatta College &amp;nbsp; Atma Ram Sanatan Dharma College&amp;nbsp; B Bhagini Nivedita College&amp;nbsp; Bharati College&amp;nbsp; Bhaskaracharya College of Applied Sciences&amp;nbsp; Bhim Rao Ambedkar College&amp;nbsp; C College of Art&amp;nbsp; College of Vocational Studies&amp;nbsp; D Daulat Ram College&amp;nbsp; Delhi College of Arts &amp;amp; Commerce&amp;nbsp; Deshbandhu College(Morning)&amp;nbsp; Deen Dayal Upadhyaya College&amp;nbsp; Durga Bai Deshmukh College of Special Edu.(VI)&amp;nbsp; Dyal Singh College&amp;nbsp; Dyal Singh College (Evening)&amp;nbsp; G Gargi College&amp;nbsp; F --&gt; H Hans Raj College&amp;nbsp; Hindu College&amp;nbsp; I Indira Gandhi Institute of Physical Education &amp;amp; Sports Sciences&amp;nbsp;</t>
        </is>
      </c>
    </row>
    <row r="36">
      <c r="A36" s="14" t="inlineStr">
        <is>
          <t>Indraprastha College for Women&amp;nbsp; Institute of Home Economics&amp;nbsp; J Janki Devi Memorial College&amp;nbsp; Jesus &amp;amp; Mary College&amp;nbsp; K Kalindi College for Women&amp;nbsp; Kamla Nehru College for Women&amp;nbsp; Keshav Mahavidyalaya&amp;nbsp; Kirori Mal College&amp;nbsp; L Lady Irwin College&amp;nbsp; Lady Shri Ram College for Women&amp;nbsp; Lakshmi Bai College for Women&amp;nbsp; M Maharaja Agarsen College&amp;nbsp; Maharshi Valmiki College of Education&amp;nbsp; Maitreyi College for Women&amp;nbsp; Mata Sundri College for Women&amp;nbsp; Miranda House&amp;nbsp; Moti Lal Nehru College&amp;nbsp; Moti Lal Nehru College (Evening)&amp;nbsp; P P.G.D.A.V. College&amp;nbsp; P.G.D.A.V. College (Evening)&amp;nbsp; R Rajdhani College&amp;nbsp; Rajkumari Amrit Kaur College of Nursing&amp;nbsp; Ram Lal Anand College&amp;nbsp; Ramanujan College&amp;nbsp; Ramjas College&amp;nbsp; U --&gt; N --&gt; S Satyawati College&amp;nbsp; Satyawati College (Evening)&amp;nbsp; School of Open Learning ( Erstwhile School of Correspondence &amp;amp; Continuing Education)&amp;nbsp; Shaheed Bhagat Singh College&amp;nbsp; Shaheed Bhagat Singh College (Evening)&amp;nbsp; Shaheed Rajguru College of Applied Sciences for Women&amp;nbsp; Shaheed Sukhdev College of Business Studies&amp;nbsp; Shivaji College&amp;nbsp; Shri Ram College of Commerce&amp;nbsp; Shyam Lal College&amp;nbsp; Shyam Lal College (Evening)&amp;nbsp; Shyama Prasad Mukherji College for Women&amp;nbsp; Sri Aurobindo College&amp;nbsp; Sri Aurobindo College (Evening)&amp;nbsp; Sri Guru Gobind Singh College of Commerce&amp;nbsp; Sri Guru Nanak Dev Khalsa College&amp;nbsp; Sri Guru Tegh Bahadur Khalsa College&amp;nbsp; Sri Venkateswara College&amp;nbsp; St. Stephen's College&amp;nbsp; Swami Shraddhanand College&amp;nbsp; V Vivekananda College&amp;nbsp; Z Zakir Husain Delhi College&amp;nbsp; Zakir Husain Post Graduate Evening College&amp;nbsp; Other Institutions Ahilya Bai College of Nursing&amp;nbsp; Amar Jyoti Institute of Physiotherapy&amp;nbsp; Ayurvedic &amp;amp; Unani Tibia College&amp;nbsp; Chacha Nehru Bal Chikitsalaya&amp;nbsp; College of Nursing at Army Hospital (R&amp;amp;R)&amp;nbsp; Delhi Institute of Pharmaceutical Sciences and</t>
        </is>
      </c>
    </row>
    <row r="37">
      <c r="A37" s="14" t="inlineStr">
        <is>
          <t>Research&amp;nbsp; Florence Nightingale College of Nursing&amp;nbsp; Holy Family College of Nursing&amp;nbsp; Lady Hardinge Medical College&amp;nbsp; Maulana Azad Institute of Dental Sciences&amp;nbsp; Maulana Azad Medical College&amp;nbsp; Nehru Homeopathic Medical College &amp;amp; Hospital&amp;nbsp; Netaji Subhash Institute of Technology&amp;nbsp; --&gt; National Institute of Health &amp;amp; Family Welfare&amp;nbsp; Pt. Deendayal Upadhyaya Institute of Physically Handicapped&amp;nbsp; Rajkumari Amrit Kaur College of Nursing&amp;nbsp; Kasturba Hospital&amp;nbsp; Institute of Human Behaviour &amp;amp; Allied Sciences&amp;nbsp; G.B. Pant Hospital&amp;nbsp; All India Institute of Ayurveda&amp;nbsp; School of Rehabilitation Sciences&amp;nbsp; University College of Medical Sciences&amp;nbsp; Vallabhbhai Patel Chest Institute&amp;nbsp; Faculty of Applied Social Sciences and Humanities Department of Finance and Business Economics Faculty of Commerce &amp;amp; Business Studies Department of Commerce Faculty of Education Department of Education Faculty of Law Department of Law Faculty of Arts Department of Arabic Department of Buddhist Studies Department of Germanic &amp;amp; Romance Studies Department of Hindi Department of Library &amp;amp; Information Science Department of Linguistics Department of Indian Languages and Literary Studies Department of Persian Department of Philosophy Department of Psychology Department of Punjabi Department of Sanskrit Department of Slavonic &amp;amp; Finno-Ugrian Studies Department of Urdu Department of English Faculty of Interdisciplinary &amp;amp; Applied Sciences Department of Biochemistry Department of Biophysics Department of Electronic Science Department of Genetics Department of Microbiology Department of Physical Education &amp;amp; Sports Sciences Department of Plant Molecular Biology Faculty of Music Department of Music Department of Fine Arts Faculty of Management Studies Department of Business Management &amp;amp; Industrial Administration Faculty of Science Department of Anthropology Department of Botany Department of Chemistry</t>
        </is>
      </c>
    </row>
    <row r="38">
      <c r="A38" s="14" t="inlineStr">
        <is>
          <t>Department of Environmental Studies Department of Geology Department of Home Science Department of Nursing Department of Pharmacy Department of Physics &amp;amp; Astrophysics Department of Zoology Faculty of Technology Department of Computer Engineering Department of Electrical Engineering Department of Electronics &amp;amp; Communication Engineering Faculty of Mathematical Sciences Department of Computer Science Department of Mathematics Department of Operational Research Department of Statistics Faculty of Social Sciences Department of Adult, Continuing Education &amp;amp; Extension Department of African Studies Delhi School of Journalism Department of East Asian Studies Department of Economics Department of Geography Department of History Department of Political Science Department of Social Work Department of Sociology Faculty of Open Learning Distance &amp;amp; Continuing Education Affiliated Faculties Department of Ayurvedic &amp;amp; Unani Medicine Department of Homeopathic Medicine Faculty of Medical Sciences Department of Anaesthesiology &amp;amp; Critical Care Department of Anatomy Department of Medical Bio-Chemistry Department of Community Medicine Department of Dermatology, Venereology &amp;amp; Leprosy Department of Dental Sciences Department of Forensic Medicine Department of Obstetrics &amp;amp; Gyanaecology Department of Medicine Department of Medical Microbiology Department of Opthalmology Department of Orthopaedics Department of Otolaryngology Department of Paediatrics Department of Pathology Department of Pharmacology Department of Physiology Department of Psychiatry Department of Pulmonary Medicine Department of Radiology, Radiotherapy, Radiodiagnosis &amp;amp; Radiation Medicine Department of Surgery Students Corner Academic Resources (Previous Year Question Papers etc.) Hostels Student Activities - NSS , NCC &amp; Sports DUSU Equal Opportunity Cell Opportunities / Scholarships Fellowships Forms Anti-Ragging SC/ST Student Grievance&amp;nbsp; Foreign Students' Registry&amp;nbsp; Central</t>
        </is>
      </c>
    </row>
    <row r="39">
      <c r="A39" s="14" t="inlineStr">
        <is>
          <t>Placement Cell&amp;nbsp; NME-ICT&amp;nbsp; Digi Locker NAD Portal&amp;nbsp; National Scholarship Portal&amp;nbsp; UGC Guidelines for Student Grievances Regulations, 2023&amp;nbsp; &amp;nbsp; Helpline for Women (24x7) Office Memorandum - 24x7 helpline for women in distress Helpline no. 7827170170 www.ncwwomenhelpline.in&amp;nbsp;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Staff Jobs &amp; Opportunities HR &amp; Trainings Notifications --&gt; Statutory Bodies Internal Complaints Committee (ICC) (Prevention of Sexual Harassment) Sanctioned Posts Welfare Measure Forms Integrity Pledge-Central Vigilance Commission&amp;nbsp; If complainants fail to get internal redress, DPG (https://dpg.gov.in) can be approached for redress of grievances&amp;nbsp; Office Orders / Circulars / Guidelines Rules &amp; Policies Acts, Statutes and Ordinances Guidelines and Notifications Procurement Policy Notification (Archive) Estate Estate Website Online Portal for Premises Booking Notification - Parking Sticker , Online Application Link Application form for Pensioner's ID Card Notification - Employee Identity Card Finance Financial Estimates/Annual Accounts/Expenditure Details/ Notifications/Minutes/Rules/E-procurement Visitors Live a life free from addiction. Take the pledge. &amp;nbsp; Study in India&amp;nbsp; Tenders and Quotations Rules, Policies &amp; Ordinances Guidelines and Notifications --&gt; Jobs &amp; Opportunities RTI Cyber Security &amp; Awareness&amp;nbsp; Cyber Security Guidelines for Government Employees&amp;nbsp; &amp;nbsp; --&gt; MY Bharat Portal&amp;nbsp; "DIGITAL SANSAD" Mobile App&amp;nbsp; &amp;nbsp; National Cyber Crime Reporting Portal&amp;nbsp; --&gt; National Voters' Service Portal&amp;nbsp; SSR of Electoral Rolls 2021 --&gt; Swayam Portal&amp;nbsp; Guidelines for SEDGs&amp;nbsp; ePathshala Portal&amp;nbsp; Start-Ups Incubated on Campus&amp;nbsp; &amp;nbsp;</t>
        </is>
      </c>
    </row>
    <row r="40">
      <c r="A40" s="14" t="inlineStr">
        <is>
          <t>BHIM App&amp;nbsp; Directions - IT Act, 2000&amp;nbsp; &amp;nbsp; ICT Initiatives of MHRD&amp;nbsp; mSeva AppStore&amp;nbsp; Cyber Security Handbook For "Mahila Suraksha"&amp;nbsp; &amp;nbsp; Regarding book “Swachh Bharat: Sankalp se Siddhi" EVM-VVPAT - Election Commission of India&amp;nbsp; Project Management Launched on 15 August, 2018 --&gt; Application form for Refund of Fees&amp;nbsp; &amp;nbsp; Alumni - Related Forms&amp;nbsp; Alumni - Related ExamBranch Service Windows How to get your original degree&amp;nbsp; Connect to India Programme&amp;nbsp; --&gt; Campus Harmony &amp; Well Being e-Samadhan&amp;nbsp; Student Grievance Redressal Committee (SGRC)&amp;nbsp; Details of OMBUDSPERSON&amp;nbsp; Internal Quality Assurance Cell&amp;nbsp; Alumni Alumni Ministry of Statistics and Program Implementation, GoI MoSPI Website&amp;nbsp; e-Sankhyiki Portal&amp;nbsp; Microdata&amp;nbsp; Data Viz. Page&amp;nbsp; Special Links Miscellaneous Online Fee Payment&amp;nbsp; Online Fee Payment - For Under-Graduate Second and Third Year Students&amp;nbsp; For Post-Graduate Second and Third Year Students&amp;nbsp; Online Application to obtain Degree in Advance of Annual Convocation&amp;nbsp; Student Teacher Corner --&gt; --&gt; Related Pages View Colleges View Departments --&gt; --&gt; --&gt; Recent Pages you've visted --&gt; --&gt; --&gt; Delhi University Computer Centre --&gt; Department of Arts --&gt; IIC Research Lab --&gt; Vice Chancellor --&gt; Chancellor --&gt; About DU --&gt; List of Departments --&gt; Faculties --&gt; Press Releases --&gt; South Campus --&gt; Hansraj College --&gt; North Campus --&gt; Department Information --&gt; Revised-Sylabbi 2019-20 --&gt; Under-Graduate --&gt; Post-Graduate --&gt; --&gt; --&gt; --&gt; Clear my--&gt; --&gt; Or Hide this--&gt; --&gt; --&gt; --&gt; --&gt; --&gt; You are here:&amp;nbsp; Privacy Policy - Generic Share this --&gt; PRIVACY POLICY As a general rule, this website collect Information about you when you visit the site. You can generally visit the site without revealing Personal Information, unless you choose to provide such information. Site Visit Data: This website records your visit and logs the following information for statistical purposes.</t>
        </is>
      </c>
    </row>
    <row r="41">
      <c r="A41" s="14" t="inlineStr">
        <is>
          <t>Your server&amp;rsquo;s address, the name of the top-level domain from which you access the Internet (for example, .gov, .com, .in, etc.), the type of browser you use, the date and time you access the site, the pages you have accessed, the documents downloaded and the previous Internet address from which you linked directly to the site is logged. We will not identify users or their browsing activities, except when a law enforcement agency may exercise a warrant to inspect the service provider&amp;rsquo;s logs. Email Management: Your email address will only be recorded if you choose to send a message. It will only be used for the purpose for which you have provided it and will not be added to a mailing list. Your email address will not be used for any other purpose, and will not be disclosed, without your consent. Collection of Personal Information: If you are asked for any other Personal Information you will be informed how it will be used if you choose to give it. If at any time you believe the principles referred to in this privacy statement have not been followed, or have any other comments on these principles, please notify the webmaster through the contact us page. Hyperlink Policy Links To External Websites/Portals At many places in this website, you shall find links to other websites/portals. This links have been placed for your convenience. The University of Delhi is not responsible for the contents and reliability of the linked websites and does not necessarily endorse the views expressed in them. Mere presence of the link or its listing on this website should not be assumed as endorsement of any kind. We cannot guarantee that these links will work all the time and we have no control over availability of linked pages. Note: The use of the term &amp;ldquo;Personal Information&amp;rdquo; in this privacy statement refers to any information from which your identity is apparent or can be reasonably ascertained. Last Updated: Wednesday 25-Aug-21 16:45:21 IST Spotlight Advt. No.</t>
        </is>
      </c>
    </row>
    <row r="42">
      <c r="A42" s="14" t="inlineStr">
        <is>
          <t>R&amp;amp;P/307/2024 dated 03.10.2024 for the post of Assistant Professor in various Department : Result Notification for the Post of Assistant Professor in the Department of GRS (German) and Centre for Hindu Studies posted on Oct 16, 2026 Advertisement No. R&amp;amp;P/314/2026 for the post of Assistant Professor : Centre for Hindu Studies : Result Notification for the Post of Assistant Professor in the Department of GRS (German) and Centre for Hindu Studies posted on Oct 16, 2026 Notification for LDE - 2026 posted on Oct 15, 2026 Advertisement for the various Non-Teaching posts (Advt. No. R&amp;amp;P/312/2025) : Result Notification for Sports Coach posted on Oct 15, 2026 103rd Annual Convocation posted on Oct 14, 2026 Cyber सतर्कता Month (October 1- 31, 2026) posted on Oct 14, 2026 NEP: UGCF 2022 Syllabi of Courses of UGCF 2022 &amp;amp; related Notifications posted on Oct 14, 2026 Notification - Digital Life Certificate for pensioners/family pensioners of University of Delhi through Jeevan Pramaan posted on Oct 14, 2026 Extended Date for Financial Support Scheme 2026-27 : Financial Support Scheme (FSS) 2026-27 posted on Oct 12, 2026 Notification - Continuation of Vice Chancellor for the Second Term posted on Oct 8, 2026 Notification regarding the extension of last date for Inter College Migration for Academic Session 2026-2027 posted on Oct 7, 2026 Notification regarding implementation of revised rates of licence fee for commercial rates within the University Campus posted on Oct 1, 2026 Notification regarding Revision of Booking Payment Policy for University&amp;#039;s Venues to Recoveries Ensure Timely Procedure - Estate Section posted on Sep 30, 2026 Vice-Chancellor Internship Scheme (Part-time 2026) posted on Sep 29, 2026 Placement Drives - Dean Students&amp;#039; Welfare Office posted on Sep 22, 2026 DUSU Election 2026-2027 posted on Sep 19, 2026 Advertisement No. R&amp;amp;P/322/2026 for the post of Professor (Extension of the last date of up to 26.09.2026) posted on Sep 17, 2026</t>
        </is>
      </c>
    </row>
    <row r="43">
      <c r="A43" s="14" t="inlineStr">
        <is>
          <t>Advertisement No. R&amp;amp;P/313/2025 for the post of Associate Professor and Professor posted on Sep 17, 2026 Advertisement No. R&amp;amp;P/321/2026 for the post of Associate Professor (Extension of the last date of up to 26.09.2026) posted on Sep 17, 2026 Notification regarding Tagore Hall, Satyakam Bhawan, Room No. 22 Arts Faculty - Estate Section posted on Sep 17, 2026 Notification regarding booking of class room - Estate Section posted on Sep 17, 2026 Advisory - Restriction on the movement of vehicles on 18th and 19th September, 2026 due to the DUSU Election 2026-2027 posted on Sep 16, 2026 NCWEB Cut-Off Lists posted on Sep 7, 2026 Notification - Advt. No. Estab.IV/290/2021 dated 23.02.2021 stands cancelled as per Hon&amp;#039;ble High Court of Delhi Judgement dated 02.09.2026 posted on Sep 3, 2026 Extension of Last Date : Call for Research Proposals under Faculty Research Programme (FRP) 2026–2027 - Institution of Eminence posted on Aug 24, 2026 Notification - Last date of admissions for Academic Session 2026-27 posted on Aug 18, 2026 Internal Hackathon for University of Delhi -Smart India Hackathon (SIH) 2026 - Faculty of Technology (August 25, 2026) posted on Aug 18, 2026 3rd International Conference on Sustainable Power and Energy Research (ICSPER 2026) - Faculty of Technology &amp;amp; Department of Physics and Astrophysics (December 03 - 04, 2026) posted on Aug 18, 2026 Yantrika 2026: Innovate &amp;amp; Elevate (September 8-10, 2026) posted on Aug 14, 2026 Partition Horrors Remembrance Day ( August 14, 2026) posted on Aug 14, 2026 Advisory regarding unauthorized parking on the roadside posted on Aug 10, 2026 Advertisement No. R&amp;amp;P/317/2026 for the post of Associate Professor posted on Aug 10, 2026 Advertisement No. R&amp;amp;P/316/2026 for the post of Assistant Professor dated 17.03.2026 posted on Aug 10, 2026 World Congress on Nanomedicine - Institute of Nano Medical Sciences (September 27-30, 2026) posted on Jul 30, 2026 Anti-Ragging Press Release, Guidelines, Circular,</t>
        </is>
      </c>
    </row>
    <row r="44">
      <c r="A44" s="14" t="inlineStr">
        <is>
          <t>and Poster posted on Jul 28, 2026 Faculty Development Program (FDP) on topic &amp;quot;Computational Modeling, Simulation and AI with MATLAB (August 17-21, 2026) posted on Jul 27, 2026 Press Release - Undergraduate Admissions Update - Allocation Round - I for the Academic Session 2026-2027 posted on Jul 16, 2026 Notification for accommodation allotment 2026-27 posted on Jul 10, 2026 Notification - Increase of credits for Research/Entrepreneurship track of 4th Year UGCF, 2022 with effect from academic session 2026-27 onwards posted on Jul 10, 2026 Advertisement No. R&amp;amp;P/318/2026 for the post of Professor posted on Jul 8, 2026 Notification regarding re-appointment of Prof. Yogesh Singh as Vice-Chancellor, University of Delhi for a second term of five years posted on Jul 7, 2026 Advt. No. R&amp;amp;P/305/2024 dated 27.09.2024 for the post of Assistant Professor posted on Jul 2, 2026 Advt. No. R&amp;amp;P/309/2024 dated 03.10.2024 for the post of Professor in various Department posted on Jul 2, 2026 Academic Calendar 2026-27 posted on Jul 2, 2026 Advt. No. R&amp;amp;P/308/2024 dated 03.10.2024 for the post of Associate Professor in various Department posted on Jul 2, 2026 योग विज्ञान में निहित है सभी समस्याओं का समाधानः प्रधान posted on Jun 22, 2026 क्यूएस वर्ल्ड यूनिवर्सिटी रैंकिंग 2027 में 6 अंक उठी डीयू की ग्लोबल रैंकिंग posted on Jun 19, 2026 Admission Open in Seventh Batch of &amp;quot;Certificate Course on Patents” offered by Research, Innovation and Entrepreneurship Council posted on Jun 19, 2026 ICC Election 2025-26 posted on Jun 17, 2026 One month Summer Internship opportunity - Design Innovation Centre, DU posted on Jun 15, 2026 12th International Day of Yoga - Gandhi Bhawan (June 15-22, 2025) posted on Jun 12, 2026 Notice and Interviews schedule :Press Release and Advertisement for the post of Assistant Professor as guest faculty in NCWEB Teaching Centre for the Academic Session 2026-27 - NCWEB posted on Jun 10, 2026 Notification for Refund of fees dated 01.06.2026 posted on</t>
        </is>
      </c>
    </row>
    <row r="45">
      <c r="A45" s="14" t="inlineStr">
        <is>
          <t>Jun 1, 2026 Advertisement No. R&amp;amp;P/320/2026 for the post of Associate Professor and Professor - Faculty of Technology : Extension of last date up to 02.05.2026 (Edit option is available till the last date of advertisement) posted on Apr 16, 2026 Advertisement No. R&amp;amp;P/319/2026 for the post of Assistant Professor - Faculty of Technology : Extension of last date up to 02.05.2026 (Edit option is available till the last date of advertisement) posted on Apr 16, 2026 Department of Botany, University of Delhi’s started sustainability initiative in various colleges and public places posted on Apr 10, 2026 India’s First Carbon Garden established in Department of Botany, University of Delhi posted on Apr 9, 2026 Notification regarding the prior written intimation and permission from the Competent Authority is mandatory for any assembly, gathering, demonstration, dharna, etc. posted on Mar 23, 2026 Can't find what you're looking for? Try our extensive database of FAQs or check our knowledgebase to know more... View Knowledgebase &amp;lt; View Previous page: Department of Medicine You're viewing: Privacy Policy - Generic View Next page: News &amp; Events &amp;gt; Want to know more about University of Delhi? Ready to Start your exciting Journey? Check the registration process for academic session 2026-27 on the link below Admission Website Request Info Schedule a Tour --&gt; Work with DU --&gt; IT Services (DUCC) Placement Cell HR &amp; Trainings Cyber Security Events at DU --&gt; Subscribe to our email updates Subscribe --&gt; DU Map University of Delhi North Campus, Delhi - 110007 South Campus, Benito Juarez Marg, South Moti Bagh, New Delhi, Delhi - 110021 &amp;nbsp; &amp;nbsp; &amp;nbsp; &amp;nbsp; &amp;nbsp; &amp;nbsp; &amp;nbsp; &amp;nbsp; &amp;nbsp; &amp;nbsp; © Copyrights - University of Delhi Powered by Samarth दिल्लीविश्वविद्यालय.विद्या.भारत दिवि.विद्या.भारत डीयू.विद्या.भारत About DU About DU University Handbooks Courses Offered Alumni DU Governance Administration Committees Guidelines &amp; Notifications Rules &amp; Policies Contact Us</t>
        </is>
      </c>
    </row>
    <row r="46">
      <c r="A46" s="14" t="inlineStr">
        <is>
          <t>Locate Colleges Telephone Directory Student Grievance Redressal Important Links Ministry of Education University Grants Commission © Copyright 2020-2021 Privacy Policy Disclaimer Site Map Maintained by DUCC OWASP Top 10, 2017 Last Updated on Wednesday 25-Aug-21 16:45:21 IST Supports:&amp;nbsp;&amp;nbsp;&amp;nbsp;&amp;nbsp;Firefox 2.0+ &amp;nbsp;&amp;nbsp;&amp;nbsp;&amp;nbsp;Google Chrome 6.0+ &amp;nbsp;&amp;nbsp;&amp;nbsp;&amp;nbsp;Internet Explorer 8.0+ &amp;nbsp;&amp;nbsp;&amp;nbsp;&amp;nbsp;Safari 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s="12" t="inlineStr">
        <is>
          <t>PRIVACY POLICY TEXT: iima.ac.in</t>
        </is>
      </c>
    </row>
    <row r="2">
      <c r="A2" s="13" t="inlineStr">
        <is>
          <t>(read this to grade the 'iima.ac.in' rows on the Labels sheet)</t>
        </is>
      </c>
    </row>
    <row r="4">
      <c r="A4" s="14">
        <f>==== PAGE: https://iima.ac.in/the-institute/Privacy-Policy =====</f>
        <v/>
      </c>
    </row>
    <row r="5">
      <c r="A5" s="14" t="inlineStr">
        <is>
          <t>Privacy Policy-T&amp;amp;C | IIMA Home Menu The Institute The Institute About IIMA Administration View All Administrative Departments Governance Act &amp;amp; Rules Tenders Online Payment Work with Us CMGI Campus View All Virtual Tour Green initiatives IIMA Restoration Archives Main navigation The Institute Explore The Institute About IIMA Administration View All Accreditation and Ranking Alumni and External Office (AER) Office Kamla Chowdhry Communications Hub Contracts Department Electrical and Utility Facility Office Finance and Accounts Human Resources Department ICT Department Security Department Stores and Purchase Department Transport Department CMGI Campus IIMA Archives Connect with Us Faculty &amp;amp; Research Explore Faculty &amp;amp; Research Our Faculty Research &amp;amp; Publication Case Centre Academic Areas View All Centre for Management in Agriculture Communication Economics Finance and Accounting Human Resources Management Information Systems Marketing Organisational Behaviour Operations and Decision Sciences Public Systems Group Ravi J. Matthai Centre For Educational Innovation Strategy Dubai Campus Research Centres View All Ashank Desai Centre for Leadership and Organisational Development Brij Disa Centre for Data Science and Artificial Intelligence Centre for Sustainability and Corporate Governance Research (CSCG) View All About CSCG Executive Committee Publications Research Spotlight Newsletters &amp;amp; Reports Events &amp;amp; Conferences Connect With Us Centre for Digital Transformation Centre for Innovation Incubation &amp;amp; Entrepreneurship (CIIE) Centre for Management of Health Services Centre for Transportation and Logistics India Gold Policy Centre View all About IGPC Governing Committee IGPC Datahub Research &amp;amp; Publications Events IGPC Gold Scholars Connect with Us Madan Mohanka Centre of Excellence In Case Method of Learning Mattu Centre for Research in Security Pricing and Corporate Finance Misra Centre for Financial Markets and Economy View all</t>
        </is>
      </c>
    </row>
    <row r="6">
      <c r="A6" s="14" t="inlineStr">
        <is>
          <t>Seminars/Roundtables Conferences Research Business Inflation Expectations Survey (BIES) ISALPI - Agri Land Price Index Media NSE Centre for Behavioral Science in Finance, Economics and Marketing JSW School of Public Policy Krishnamurthy Tandon School of AI About The School Education and Research Activities and Events Careers IIMA Knowledge Centres Vikram Sarabhai Library Ideas from IIMA Vikalpa Faculty Recruitment Connect with Us Academics Explore Academics Ph.D. View All Programme Overview Admissions Students Careers and Placements Research Record and Awards Videos and Newsletters MBA View All About Programme Admissions View All Domestic Overseas Indian Category Supernumerary Quota Careers and Placements MBA-FABM View All About Programme Admissions View All Domestic Overseas Candidates Careers and Placements MBA-PGPX View All About Programme Admissions MBA PGPX Fee Structure Careers and Placements MBA-BPGP View All About Programme Admissions The Team Connect With Us MBA-BPGP: BA &amp;amp; AI View All About Programme Programme Edge Admissions Connect With Us ePGD-ABA View all About Programme - ePGD-ABA Why ePGD-ABA at IIMA? Admissions FAQs Who Can Apply Who Can Apply Who Can Apply Blog FDP View All About Program Admissions AFP Connect with Us IIMA Dubai Campus About Dubai Campus Academic One Year MBA View All Programme Structure Admissions Careers and Placements Fees, Financing &amp;amp; Scholarships Connect with us Executive MBA View All Admissions Process Executive Education - Dubai General Management Programme CIIE - IIMA Ventures Executive Education Explore Executive Education The IIMA Edge FAQs Student Life Explore Student Life Life at IIMA Student Bodies Alumni Network IIMA Virtual Tour Connect with Us Alumni Explore Alumni WIMWIAN Magazine Chapters FAQs Connect with Us Giving Explore Giving About IIMA Endowment Fund Structure and Governance Different Areas to Contribute Support Entrepreneurship at IIMA How to Give? Connect with Us Popular searches Faculty Directory</t>
        </is>
      </c>
    </row>
    <row r="7">
      <c r="A7" s="14" t="inlineStr">
        <is>
          <t>IIMA Cases Executive Education Campus Alumni Quick links Online Payments Verification Request CAT 2022 Research Productivity Latest at IIMA Covid-19 Dashboard The Institute Skip to main content Privacy Policy-T&amp;amp;C Error message Warning : Undefined array key "redirect" in iima_preprocess_html() (line 290 of themes/iima/iima.theme ). iima_preprocess_html(Array, &amp;#039;html&amp;#039;, Array) (Line: 287) Drupal\Core\Theme\ThemeManager-&amp;gt;render(&amp;#039;html&amp;#039;, Array) (Line: 422) Drupal\Core\Render\Renderer-&amp;gt;doRender(Array, ) (Line: 201) Drupal\Core\Render\Renderer-&amp;gt;render(Array) (Line: 162) Drupal\Core\Render\MainContent\HtmlRenderer-&amp;gt;Drupal\Core\Render\MainContent\{closure}() (Line: 564) Drupal\Core\Render\Renderer-&amp;gt;executeInRenderContext(Object, Object) (Line: 157) Drupal\Core\Render\MainContent\HtmlRenderer-&amp;gt;renderResponse(Array, Object, Object) (Line: 90) Drupal\Core\EventSubscriber\MainContentViewSubscriber-&amp;gt;onViewRenderArray(Object, &amp;#039;kernel.view&amp;#039;, Object) call_user_func(Array, Object, &amp;#039;kernel.view&amp;#039;, Object) (Line: 142) Drupal\Component\EventDispatcher\ContainerAwareEventDispatcher-&amp;gt;dispatch(Object, &amp;#039;kernel.view&amp;#039;) (Line: 163) Symfony\Component\HttpKernel\HttpKernel-&amp;gt;handleRaw(Object, 1) (Line: 80) Symfony\Component\HttpKernel\HttpKernel-&amp;gt;handle(Object, 1, 1) (Line: 58) Drupal\Core\StackMiddleware\Session-&amp;gt;handle(Object, 1, 1) (Line: 48) Drupal\Core\StackMiddleware\KernelPreHandle-&amp;gt;handle(Object, 1, 1) (Line: 191) Drupal\page_cache\StackMiddleware\PageCache-&amp;gt;fetch(Object, 1, 1) (Line: 128) Drupal\page_cache\StackMiddleware\PageCache-&amp;gt;lookup(Object, 1, 1) (Line: 82) Drupal\page_cache\StackMiddleware\PageCache-&amp;gt;handle(Object, 1, 1) (Line: 48) Drupal\Core\StackMiddleware\ReverseProxyMiddleware-&amp;gt;handle(Object, 1, 1) (Line: 51) Drupal\Core\StackMiddleware\NegotiationMiddleware-&amp;gt;handle(Object, 1, 1) (Line: 23) Stack\StackedHttpKernel-&amp;gt;handle(Object, 1, 1) (Line: 708)</t>
        </is>
      </c>
    </row>
    <row r="8">
      <c r="A8" s="14" t="inlineStr">
        <is>
          <t>Drupal\Core\DrupalKernel-&amp;gt;handle(Object) (Line: 84) Warning : Undefined array key "keys" in iima_preprocess_html() (line 296 of themes/iima/iima.theme ). iima_preprocess_html(Array, &amp;#039;html&amp;#039;, Array) (Line: 287) Drupal\Core\Theme\ThemeManager-&amp;gt;render(&amp;#039;html&amp;#039;, Array) (Line: 422) Drupal\Core\Render\Renderer-&amp;gt;doRender(Array, ) (Line: 201) Drupal\Core\Render\Renderer-&amp;gt;render(Array) (Line: 162) Drupal\Core\Render\MainContent\HtmlRenderer-&amp;gt;Drupal\Core\Render\MainContent\{closure}() (Line: 564) Drupal\Core\Render\Renderer-&amp;gt;executeInRenderContext(Object, Object) (Line: 157) Drupal\Core\Render\MainContent\HtmlRenderer-&amp;gt;renderResponse(Array, Object, Object) (Line: 90) Drupal\Core\EventSubscriber\MainContentViewSubscriber-&amp;gt;onViewRenderArray(Object, &amp;#039;kernel.view&amp;#039;, Object) call_user_func(Array, Object, &amp;#039;kernel.view&amp;#039;, Object) (Line: 142) Drupal\Component\EventDispatcher\ContainerAwareEventDispatcher-&amp;gt;dispatch(Object, &amp;#039;kernel.view&amp;#039;) (Line: 163) Symfony\Component\HttpKernel\HttpKernel-&amp;gt;handleRaw(Object, 1) (Line: 80) Symfony\Component\HttpKernel\HttpKernel-&amp;gt;handle(Object, 1, 1) (Line: 58) Drupal\Core\StackMiddleware\Session-&amp;gt;handle(Object, 1, 1) (Line: 48) Drupal\Core\StackMiddleware\KernelPreHandle-&amp;gt;handle(Object, 1, 1) (Line: 191) Drupal\page_cache\StackMiddleware\PageCache-&amp;gt;fetch(Object, 1, 1) (Line: 128) Drupal\page_cache\StackMiddleware\PageCache-&amp;gt;lookup(Object, 1, 1) (Line: 82) Drupal\page_cache\StackMiddleware\PageCache-&amp;gt;handle(Object, 1, 1) (Line: 48) Drupal\Core\StackMiddleware\ReverseProxyMiddleware-&amp;gt;handle(Object, 1, 1) (Line: 51) Drupal\Core\StackMiddleware\NegotiationMiddleware-&amp;gt;handle(Object, 1, 1) (Line: 23) Stack\StackedHttpKernel-&amp;gt;handle(Object, 1, 1) (Line: 708) Drupal\Core\DrupalKernel-&amp;gt;handle(Object) (Line: 84) Warning : Attempt to read property "field_logo" on null in getlogobynid() (line 64 of themes/iima/iima.theme ). getlogobynid(&amp;#039;99&amp;#039;) (Line:</t>
        </is>
      </c>
    </row>
    <row r="9">
      <c r="A9" s="14" t="inlineStr">
        <is>
          <t>327) iima_preprocess_html(Array, &amp;#039;html&amp;#039;, Array) (Line: 287) Drupal\Core\Theme\ThemeManager-&amp;gt;render(&amp;#039;html&amp;#039;, Array) (Line: 422) Drupal\Core\Render\Renderer-&amp;gt;doRender(Array, ) (Line: 201) Drupal\Core\Render\Renderer-&amp;gt;render(Array) (Line: 162) Drupal\Core\Render\MainContent\HtmlRenderer-&amp;gt;Drupal\Core\Render\MainContent\{closure}() (Line: 564) Drupal\Core\Render\Renderer-&amp;gt;executeInRenderContext(Object, Object) (Line: 157) Drupal\Core\Render\MainContent\HtmlRenderer-&amp;gt;renderResponse(Array, Object, Object) (Line: 90) Drupal\Core\EventSubscriber\MainContentViewSubscriber-&amp;gt;onViewRenderArray(Object, &amp;#039;kernel.view&amp;#039;, Object) call_user_func(Array, Object, &amp;#039;kernel.view&amp;#039;, Object) (Line: 142) Drupal\Component\EventDispatcher\ContainerAwareEventDispatcher-&amp;gt;dispatch(Object, &amp;#039;kernel.view&amp;#039;) (Line: 163) Symfony\Component\HttpKernel\HttpKernel-&amp;gt;handleRaw(Object, 1) (Line: 80) Symfony\Component\HttpKernel\HttpKernel-&amp;gt;handle(Object, 1, 1) (Line: 58) Drupal\Core\StackMiddleware\Session-&amp;gt;handle(Object, 1, 1) (Line: 48) Drupal\Core\StackMiddleware\KernelPreHandle-&amp;gt;handle(Object, 1, 1) (Line: 191) Drupal\page_cache\StackMiddleware\PageCache-&amp;gt;fetch(Object, 1, 1) (Line: 128) Drupal\page_cache\StackMiddleware\PageCache-&amp;gt;lookup(Object, 1, 1) (Line: 82) Drupal\page_cache\StackMiddleware\PageCache-&amp;gt;handle(Object, 1, 1) (Line: 48) Drupal\Core\StackMiddleware\ReverseProxyMiddleware-&amp;gt;handle(Object, 1, 1) (Line: 51) Drupal\Core\StackMiddleware\NegotiationMiddleware-&amp;gt;handle(Object, 1, 1) (Line: 23) Stack\StackedHttpKernel-&amp;gt;handle(Object, 1, 1) (Line: 708) Drupal\Core\DrupalKernel-&amp;gt;handle(Object) (Line: 84) Privacy Policy and Terms &amp;amp; Conditions Home The Institute Privacy Policy-T&amp;amp;C --&gt; Home The Institute About IIMA Administration CMGI Campus IIMA Archives Screen Reader Connect with Us *Events Accreditation &amp;amp; Ranking Privacy Policy and Terms &amp;amp; Conditions Privacy Statement Thank you for</t>
        </is>
      </c>
    </row>
    <row r="10">
      <c r="A10" s="14" t="inlineStr">
        <is>
          <t>visiting the website operated by the Indian Institute of Management Ahmedabad (IIMA). IIMA understands that the privacy of its users is important. Information collected on https://www.iima.ac.in/ is kept private and never shared with other organizations. This privacy statement informs you about the types of information gathered and disseminated on the website. Please note that this policy has been developed with the recognition that Internet technologies continue to develop and evolve rapidly, and that such changes may require us to alter our Privacy Policy. Any such alterations will not affect our general commitment to the protection of our visitors' privacy. General Statement You may visit our website without identifying yourself or revealing any personal information. However, certain transactions that you choose to engage in on this site will require your submission of personal information, including, but not limited to, profile updates, applications and certain databases. As a general rule, IIMA will not sell, swap, rent, or otherwise disclose to any third party any such personal information for commercial purposes. Such information will be utilized only for the purpose stated. To accomplish such a purpose, IIMA may disclose the information to its employees, consultants and agents who have a legitimate need to know the information. IIMA also reserves the right to disclose this information under special circumstances, including disclosures required by law, court order or circumstances under which disclosure, in the sole discretion of IIMA, is necessary to protect the legal rights, including the intellectual property rights, of IIMA. Use of Information IIMA may collect other information about its users that is not connected with any specific personal identity, such as data about usage and service operation. The following summarizes the types of information that we may collect. System Information, IP Addresses and Referrers When you connect to our website, our web</t>
        </is>
      </c>
    </row>
    <row r="11">
      <c r="A11" s="14" t="inlineStr">
        <is>
          <t>server may record the numerical Internet Protocol (IP) address of the computer you are using, information about your browser and operating system, date and time of access and the internet address and page which linked you to our web site. The staff of IIMA uses such information to diagnose problems, to administer and improve our website and to generate aggregate statistical reports that analyze general user information and demographics. Unless required by legal process, we do not link IP addresses to anything personally identifiable. This means that user sessions may be tracked by IP address, but a user's identity remains anonymous. In addition, we ordinarily do not disclose site usage to third parties by individual IP addresses, but may do so in very limited circumstances when complying with law or legal process, working with consultants assisting us in fixing or improving our site, or in monitoring and improving the security of our network. Our staff monitors search terms that users enter into our Search Engine, but this tracking is never associated with individual users. Cookies Cookies are unique bits of computer data that many major websites will transfer to your computer the first time that you visit. Cookies are stored on your hard drive and may be later accessed by the website to track prior usage. IIMA may use cookies and pixels, or transparent GIF files. With both cookies and Spotlight technology, the information that we collect and share is anonymous and not personally identifiable. It does not contain your name, address, telephone number, or email address. A cookie may also be used to deliver customizable and personalized services for information by tracking already visited pages. We may also use cookies to anonymously track session information, such as pages visited or duration of visit, which will help us continue to improve our format and content. You may be able to set your browser to refuse cookies or to alert you when one is being sent. It is</t>
        </is>
      </c>
    </row>
    <row r="12">
      <c r="A12" s="14" t="inlineStr">
        <is>
          <t>likely that some portions of our site will not operate properly if cookies are disabled. External Links IIMA site contains links to other independently run websites within our network and to some sites outside www.iima.ac.in domains that are not controlled by IIMA. Non-IIMA sites are not covered by this privacy policy. IIMA is not responsible for the privacy practices, security or content of such websites. IIMA cannot be responsible for the contents of external third-party sites, and by using such links, the user relieves IIMA of any and all liability arising from the use of such third-party websites. Security Precautions This site has security measures in place to protect the loss, misuse and alteration of the information under our control. Unfortunately, due to the nature of Internet communications, no data transmission over the Internet can be guaranteed to be completely secure. While IIMA remains committed to protecting the privacy of our users, we cannot ensure or warrant the security of any information you transmit to us, and you do so at your own risk. Once we receive your transmission, we make our best effort to ensure its security on our systems. We do so by using secure technology, privacy protection controls, and restrictions on employee access, however, we make no representations regarding the veracity of such measures. Contacting Us If you have any questions about this privacy statement, the practices of this site, or your dealings with this Website, you may contact the official functionaries of the institute whose contact details are provided in "Contact Us" page. DISCLAIMER IIMA does not guarantee the accuracy of the content contained in its website. The users of this site are fully responsible for their actions when using the content of this website. IIMA will not be liable for damages of any kind for any consequences arising out of or in connection with the use, or the inability to use, or the performance of the information, services, contents or</t>
        </is>
      </c>
    </row>
    <row r="13">
      <c r="A13" s="14" t="inlineStr">
        <is>
          <t>materials contained in this website. No person working with IIMA or on this website will be liable for any damages arising out of the use of the content contained in this website. IIMA reserves the right to periodically update, add to, delete or revise the content in this website, without any prior notice. IIMA also reserves the right to make changes to the technical aspects of this website without any prior notice. The technical aspects include, but are not limited to, the front-end look and feel, the architecture, the site map, the tools and functionalities, the applications and features, and the platform. COPYRIGHT AND TRADEMARK The material on this website, including the design, text, audio-visual content, photographs, graphics, Institute logo, etc., is subject to copyright protection, unless indicated otherwise. IIMA prohibits the reproduction of material in this website, its modification or distribution, without prior written permission of the authorities of IIMA. All marks including "Indian Institute of Management Ahmedabad" "IIM Ahmedabad" and "IIMA" are the property of IIMA. Prior permission is to be obtained by external parties desiring to provide a hyperlink on their sites to the IIMA website. Please state the nature of the content of your website (the website from where the link will be given) and the language of the hyperlink, and write to caooffice@iima.ac.in . Policies IIM Act and Rules HR Policy (Staff) Privacy Policy-T&amp;amp;C Whistleblower Policy Useful Links RTI NIRF Sitemap ESS Portal IIMA Mail Get In Touch Work with Us For Recruiters Tenders Maps &amp;amp; Directions English हिंदी A+ A A- Screen Reader Access © 1961-2026 Indian Institute of Management Ahmedabad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20" customWidth="1" min="1" max="1"/>
  </cols>
  <sheetData>
    <row r="1">
      <c r="A1" s="12" t="inlineStr">
        <is>
          <t>PRIVACY POLICY TEXT: jnu.ac.in</t>
        </is>
      </c>
    </row>
    <row r="2">
      <c r="A2" s="13" t="inlineStr">
        <is>
          <t>(read this to grade the 'jnu.ac.in' rows on the Labels sheet)</t>
        </is>
      </c>
    </row>
    <row r="4">
      <c r="A4" s="14">
        <f>==== PAGE: https://www.jnu.ac.in/hi/website-policy =====</f>
        <v/>
      </c>
    </row>
    <row r="5">
      <c r="A5" s="14" t="inlineStr">
        <is>
          <t>Website Policy | जवाहरलाल नेहरू विश्वविद्यालय की आधिकारिक वेबसाइट, नई दिल्ली, भारत जेएनयू | आरटीआई | निर्देशिका | संपर्क करें | आपात सेवाएं खोज A - A A + Blue Black Theme Dark Grey Theme Default Theme English Main menu ☰ मुख्य पृष्ठ जे.एन.यू. के बारे में शासन प्रबंध ▼ कुलाध्यक्ष कुलाधिपति कुलगुरु डीन (छात्र) निदेशक (प्रवेश) कुलसचिव वित्त अधिकारी परीक्षा नियंत्रक मुख्य कुलानुशासक मुख्य सतर्कता अधिकारी एसोसिएट डीन (छात्र) निदेशक वैधानिक निकाय ► विश्वविद्यालय कोर्ट कार्य परिषद विद्या परिषद् वित्त समिति अकादमिक ▼ संस्थान और केन्द्र डीन एवं विशेष केंद्र अध्यक्ष केंद्र अध्यक्ष सलाहकार और समन्वयक प्रोफेसर एमेरिटस पूर्व कुलपति मानद उपाधियाँ शैक्षणिक समय तालिका अकादमिक प्रोग्राम प्रवेश ▼ यूजी और सीओपी ई-प्रोस्पेक्टस 2025-26 पीजी और एडीओपी ई-प्रोस्पेक्टस 2025-26 पीएचडी और डीओपी ई-प्रोस्पेक्टस 2025-26 प्रवेश नीति अंतरराष्ट्रीय छात्र मान्यता प्राप्त संस्थान संकाय ▼ संकाय निर्देशिका प्रोफ़ाइल प्रोफार्मा (ऑनलाइन) स्कूल / केंद्र द्वारा संकाय खोज छात्र ▼ हॉस्टल प्रशासन अन्य लिंक पुस्तकालय ▼ लाइब्रेरी होम पेज ऑनलाइन सूची ऑनलाइन डाटाबेस ई-जर्नल्स एकल खिड़की खोज एलुमनी Website Policy पग चिन्ह मुख्य पृष्ठ Website Policy JNU WEBSITE POLICY STATEMENT JNU Administration is responsible only for the web contents published in the public domain through its official website(s), therefore all website(s) must adhere to the University website guidelines/policy. &amp;nbsp; This &amp;nbsp; policy &amp;nbsp; governs &amp;nbsp; on &amp;nbsp; all &amp;nbsp; the &amp;nbsp; public &amp;nbsp; facing &amp;nbsp; JNU &amp;nbsp; website(s) &amp;nbsp; created &amp;nbsp; using &amp;nbsp; the approved &amp;nbsp; Content &amp;nbsp; Management &amp;nbsp; System &amp;nbsp; (CMS) &amp;nbsp; of &amp;nbsp; the &amp;nbsp; University &amp;nbsp; and &amp;nbsp; any &amp;nbsp; other &amp;nbsp; web &amp;nbsp; contents, which are duly approved by the Competent Authority of the University and to be hosted on the &amp;nbsp; University’s &amp;nbsp; Servers &amp;nbsp; or &amp;nbsp; Central &amp;nbsp; ICT &amp;nbsp; or &amp;nbsp; Cloud &amp;nbsp; Infrastructure &amp;nbsp; etc. &amp;nbsp; furnished &amp;nbsp; by &amp;nbsp; the &amp;nbsp; University. &amp;nbsp; All website(s) of the</t>
        </is>
      </c>
    </row>
    <row r="6">
      <c r="A6" s="14" t="inlineStr">
        <is>
          <t>University designed for Administration, Academic activities, Facilities/Services, and School/Centre/Department must be created using the approved CMS unless given an exemption by the Competent Authority of the University. All website(s) hosted on JNU Servers or any arranged ICT Infrastructure must adhere to all sections of this policy. &amp;nbsp; JNU web contents, including its website, must be created in accordance with Government laws, &amp;nbsp; policies, &amp;nbsp; guidelines &amp;nbsp; and &amp;nbsp; JNU &amp;nbsp; standard &amp;nbsp; operating &amp;nbsp; procedures; &amp;nbsp; and &amp;nbsp; must &amp;nbsp; be &amp;nbsp; sustained &amp;nbsp; in &amp;nbsp; a manner that it maintains quality control, manages security risks, optimizes usability, easy access and provides data consistency. This policy defines the terms and conditions for all websites utilizing JNU &amp;nbsp; resources. &amp;nbsp; PURPOSE The purpose of this policy is to establish JNU procedures and guidelines for operating and maintaining some high quality web standards, ease to access, secure, compliant with Government of India website guidelines and service-oriented World Wide Web presence of the University. CIS internal central ICT facility of the University will support and assure development of the University’s webpages along with the coordinated efforts of various Schools/ Centre/ Departments of the University. This Web Policy describes the use of website(s) of the University &amp;nbsp; in &amp;nbsp; accordance &amp;nbsp; with &amp;nbsp; various &amp;nbsp; IT &amp;nbsp; standards &amp;nbsp; and &amp;nbsp; policies &amp;nbsp; of &amp;nbsp; Govt. &amp;nbsp; of &amp;nbsp; India &amp;nbsp; and &amp;nbsp; guidelines of the &amp;nbsp; University. CIS &amp;nbsp; of &amp;nbsp; JNU &amp;nbsp; is &amp;nbsp; responsible &amp;nbsp; for &amp;nbsp; managing &amp;nbsp; and &amp;nbsp; maintaining &amp;nbsp; the &amp;nbsp; World &amp;nbsp; Wide &amp;nbsp; Web &amp;nbsp; presence &amp;nbsp; of &amp;nbsp; the University, in concurrences of the website committee composed from various departments of JNU and also as advised by CIS Advisory committee of the &amp;nbsp; University. A Website Committee</t>
        </is>
      </c>
    </row>
    <row r="7">
      <c r="A7" s="14" t="inlineStr">
        <is>
          <t>should also be constituted with the approval of the competent authority in order to manage and address the new issues of websites. It will advise the Competent Authority for changes to the guidelines, if any and help incorporating new operating procedures and functional requirements, and for submitting the technical status reports &amp;nbsp; for &amp;nbsp; the &amp;nbsp; consideration &amp;nbsp; of &amp;nbsp; JNU &amp;nbsp; Competent &amp;nbsp; Authority &amp;nbsp; prior &amp;nbsp; to &amp;nbsp; the &amp;nbsp; implementation &amp;nbsp; of &amp;nbsp; new platform, &amp;nbsp; policies. &amp;nbsp; SCOPE OF &amp;nbsp; POLICY This policy applies to all including: Vice Chancellor Rectors, Registrar, Finance Officer, CoE, &amp;nbsp; DoA Directors, Deans &amp;amp; Chairpersons, &amp;nbsp; Co-coordinators Faculty &amp;nbsp; Members Staff Students and research &amp;nbsp; scholars Contractual Staff or other associated manpower deputed in the &amp;nbsp; University ICT Infrastructure: All web servers connected to, and web pages hosted on, the .ac.in, edu.in, res.in domains of &amp;nbsp; JNU. Web Servers: All web servers belonging to JNU, regardless of their domain, and all web pages hosted on them, regardless of &amp;nbsp; contents. eResources: All web resources that represent JNU, it affiliates in an official capacity, regardless of their domain or where they are &amp;nbsp; hosted. &amp;nbsp; Copyright Policy Material featured on this Portal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 However, the permission to reproduce this material shall not extend to any material which is identified as being copyright of a third party. Authorisation to reproduce such material must be obtained from the departments/copyright holders concerned. &amp;nbsp; Privacy Policy JNU-Website does not automatically capture any specific</t>
        </is>
      </c>
    </row>
    <row r="8">
      <c r="A8" s="14" t="inlineStr">
        <is>
          <t>personal information from you, (like name, phone number or e-mail address), that allows us to identify you individually. If the JNU-Website requests you to provide personal information, you will be informed for the particular purposes for which the information is gathered and adequate security measures will be taken to protect your personal information. We do not sell or share any personally identifiable information volunteered on the JNU-Website to any third party (public/private). Any information provided to this website will be protected from loss, misuse, unauthorized access or disclosure, alteration, or destruction. We gather certain information about the User, such as Internet protocol (IP) addresses, domain name, browser type, operating system, the date and time of the visit and the pages visited. We make no attempt to link these addresses with the identity of individuals visiting our site unless an attempt to damage the site has been detected. &amp;nbsp; Hyper-linking Policy 1. Links to external websites/portals At many places in this website, you shall find links to other websites/portals. The links have been placed for your convenience.JNU is not responsible for the contents and reliability of the linked websites and does not necessarily endorse the views expressed in them. Mere presence of the link or its listing on this Portal should not be assumed as endorsement of any kind. We cannot guarantee that these links will work all the time and we have no control over availability of linked pages. 2. Links to JNU-Website by other websites We do not object to you linking directly to the information that is hosted on this site and no prior permission is required for the same. However, we would like you to inform us about any links provided to this Portal so that you can be informed of any changes or updations therein. Also, we do not permit our pages to be loaded into frames on your site. The pages belonging to this site must load into a newly opened browser window</t>
        </is>
      </c>
    </row>
    <row r="9">
      <c r="A9" s="14" t="inlineStr">
        <is>
          <t>of the User. For more details and banners to link to our Portal visit our Link to Us Section. &amp;nbsp; DEFINITIONS &amp;nbsp; Content Management System (CMS) &amp;nbsp; Software application used to store, edit, retrieve, and publish web pages through various by default and customised templates. &amp;nbsp; CMS based Website Admin Access &amp;nbsp; A University representative with authorized access to edit, manage, delete web contents of the respective website(s). &amp;nbsp; CMS Publisher &amp;nbsp; The individual with access rights to publish (make content live in the public domain) in the CMS platform. &amp;nbsp; Web Content Owner &amp;nbsp; The individual nominated from School/Centre/Department with primary responsibility for all types of data of web contents. &amp;nbsp; Database &amp;nbsp; A collection of organized, related data, in the electronic form that can be accessed and manipulated using the specialized computer software. &amp;nbsp; Domain &amp;nbsp; It represents a web presence entity on the Internet. JNU's official domain names are mainly jnu.ac.in, jnu.edu.in and jnu.res.in. &amp;nbsp; External Website Website developed, maintained or hosted by entities other than JNU but has an officially recognized relationship with the University. The website is used by the University to associate official activities. Externally Hosted Web Content University &amp;nbsp; web &amp;nbsp; content &amp;nbsp; hostedby &amp;nbsp; external &amp;nbsp; service &amp;nbsp; providers &amp;nbsp; and &amp;nbsp; managed through University owned contracts is also governed by sections of this policy. Personal Website Website &amp;nbsp; developed &amp;nbsp; and &amp;nbsp; maintained &amp;nbsp; by &amp;nbsp; JNU &amp;nbsp; students/ &amp;nbsp; faculty &amp;nbsp; members &amp;nbsp; or staff individually for the purpose of personal uses that are not related to the individual's officially capacity, recognized relationship with the University. Faculty or Staff Profile Page A standard web page for individual faculty or staff that is auto-populated with proper defined directory information. University Web Content</t>
        </is>
      </c>
    </row>
    <row r="10">
      <c r="A10" s="14" t="inlineStr">
        <is>
          <t>Any content (i.e. text, data, images, documents, video and audio files) hosted on JNU servers or by outside through outsourced engagement that &amp;nbsp; represent &amp;nbsp; the &amp;nbsp; work &amp;nbsp; of &amp;nbsp; the &amp;nbsp; University &amp;nbsp; and &amp;nbsp; such &amp;nbsp; contents &amp;nbsp; are &amp;nbsp; owned &amp;nbsp; by theUniversity. Web Team Technical Staff with official responsibility for managing all JNU public facing websites/web contents. Website A set of related web resources, generally organized under a particular domain name in a structured manner. RESPONSIBILITIES Data/Content Owner To &amp;nbsp; reviewand &amp;nbsp; ensure &amp;nbsp; updatedweb &amp;nbsp; content &amp;nbsp; for &amp;nbsp; their &amp;nbsp; respective School/Centre/Department/Section/ &amp;nbsp; Unit. Communication and Information Services (CIS) To provide technical operations, maintenance of web contents hosted on central facility/servers and services for University website as a Custodian of &amp;nbsp; data/content. To provide oversight, standards for design, editorial content, manage CMS access, and system administration of the University'swebsite. To maintain and enforce Government of India guidelines/ policies. Create &amp;nbsp; and &amp;nbsp; maintain &amp;nbsp; a &amp;nbsp; web &amp;nbsp; presence &amp;nbsp; of &amp;nbsp; the &amp;nbsp; University &amp;nbsp; in &amp;nbsp; the public domains that adheres to this &amp;nbsp; policy. To &amp;nbsp; providetechnical &amp;nbsp; assistance &amp;nbsp; for &amp;nbsp; end-to-end &amp;nbsp; management of the website i.e. starting from creation to hosting of the website(s). Web Content Ownership and Responsibility Web &amp;nbsp; content &amp;nbsp; ownership &amp;nbsp; and &amp;nbsp; responsibility &amp;nbsp; will &amp;nbsp; be &amp;nbsp; with &amp;nbsp; the &amp;nbsp; Deans, &amp;nbsp; Chairpersons, &amp;nbsp; Directors &amp;nbsp; and HoDs, who are ultimately responsible for all web data and the contents of their respective website(s). &amp;nbsp; CIS as custodian of Central ICT Infrastructure, Website(s) will ensure secure and smooth access to all internal and external users of the University. CIS will provide overall end</t>
        </is>
      </c>
    </row>
    <row r="11">
      <c r="A11" s="14" t="inlineStr">
        <is>
          <t>to end Website Consultation, CMS Platform Development, Manage Security and ensure availability of Website(s) and Technical Support to the users of website(s). &amp;nbsp; Exemptions Requests for any exemption to this policy must be made in writing to the Competent Authority of the University with the proper justification and reason for exemption. If an exemption &amp;nbsp; is &amp;nbsp; not &amp;nbsp; granted &amp;nbsp; by &amp;nbsp; the &amp;nbsp; Competent &amp;nbsp; Authority, &amp;nbsp; then &amp;nbsp; all &amp;nbsp; web contents &amp;nbsp; must &amp;nbsp; adhere &amp;nbsp; to the website policy as defined in the &amp;nbsp; document. &amp;nbsp; All approved exemptions will be reviewed annually by CIS in consultation with content/data owners. Upon review, the University may or may not renew the further exemption based on the requirement of the users at that moment. If an exemption is not renewed, the websites and web contents must adhere to the requirements outlined in this policy document. &amp;nbsp; Right to Appeal Content owners or developers who have their web content removed or modified may appeal the decision in writing to the Competent Authority. &amp;nbsp; Disclaimer The &amp;nbsp; University &amp;nbsp; is &amp;nbsp; not &amp;nbsp; responsible &amp;nbsp; for &amp;nbsp; loss &amp;nbsp; of &amp;nbsp; information &amp;nbsp; from &amp;nbsp; computing, &amp;nbsp; misuse, &amp;nbsp; malfunction of computing hardware, malfunction of computing software, or external contamination of data or &amp;nbsp; programs. &amp;nbsp; Violations/Non-Compliance The web contents and/or web links found to be in violation of JNU policies or Government rules will be removed at the direction of the Competent Authority of the University after a reasonable attempt is made to identify and inform the content owner. The &amp;nbsp; following &amp;nbsp; reasons &amp;nbsp; are &amp;nbsp; also &amp;nbsp; grounds &amp;nbsp; for &amp;nbsp; termination &amp;nbsp; after &amp;nbsp; a &amp;nbsp; reasonable &amp;nbsp; attempt &amp;nbsp; is &amp;nbsp; made &amp;nbsp; to identify and inform the content &amp;nbsp; owner: Content does not adhere to the University's &amp;nbsp;</t>
        </is>
      </c>
    </row>
    <row r="12">
      <c r="A12" s="14" t="inlineStr">
        <is>
          <t>guidelines/policies. Content violates IPR, copyright &amp;nbsp; laws. Content is harmful, obscene, offensive, defamatory, threatening or disrupting social harmony. Content is designed for personal purpose, or private financial gain or compensation, unless authorized in the University with due approval of the Competent &amp;nbsp; Authority. Content is used to intimidate or single out an individual or group for degradation or harassment in violation of Government laws and the University &amp;nbsp; policy. Content is used to engage in or solicit any illegal activity in violation of Government laws or official University &amp;nbsp; policy. Content is outdated, inaccurate or poorly &amp;nbsp; presented. Content appears to be &amp;nbsp; abandoned. Content poses a performance problem, privacy issues or security &amp;nbsp; risks. Content does not adhere to the University's &amp;nbsp; guidelines. &amp;nbsp; Content Management System (CMS) Any &amp;nbsp; website &amp;nbsp; officially &amp;nbsp; representing &amp;nbsp; JNU &amp;nbsp; must &amp;nbsp; be &amp;nbsp; in &amp;nbsp; the &amp;nbsp; approved &amp;nbsp; CMS. &amp;nbsp; The &amp;nbsp; hosting &amp;nbsp; of &amp;nbsp; JNU &amp;nbsp; web pages on non-JNU servers must be approved by the Competent Authority of the &amp;nbsp; University. Any unit or individual seeking a complete exemption to the CMS must provide a content management plan to the Competent Authority of the University relations that addresses the following: Description of the purpose and &amp;nbsp; justification. Description of how internal website access is managed and how JNU administration could access the website, if &amp;nbsp; needed. Compliance with World Wide Web Consortium (W3C) and JNU website &amp;nbsp; guidelines. Description of how the website will not hinder a users’ ability to access web &amp;nbsp; content. &amp;nbsp; The technical aspects associated with proper website design should be implemented as part of &amp;nbsp; the &amp;nbsp; CMS &amp;nbsp; framework &amp;nbsp; and &amp;nbsp; industry &amp;nbsp; standards, &amp;nbsp; and &amp;nbsp; thus &amp;nbsp; should &amp;nbsp; not &amp;nbsp; be &amp;nbsp; at &amp;nbsp;</t>
        </is>
      </c>
    </row>
    <row r="13">
      <c r="A13" s="14" t="inlineStr">
        <is>
          <t>the &amp;nbsp; discretion &amp;nbsp; of &amp;nbsp; the content manager. This should also &amp;nbsp; include: Sitemap implementation URL &amp;nbsp; structure Coding &amp;nbsp; style Browser compatibility Many code aspects of SEO (Search Engine &amp;nbsp; Optimizations) Visual identity and &amp;nbsp; style Most aspects of layout format and &amp;nbsp; elements &amp;nbsp; PROCEDURES Web Hosting JNU website(s) that are required to use the CMS are also required to use predefined template(s) and will be hosted by CIS. The CMS based website(s) should give all users a standard &amp;nbsp; access &amp;nbsp; to &amp;nbsp; the &amp;nbsp; information. &amp;nbsp; CIS &amp;nbsp; only &amp;nbsp; will &amp;nbsp; provide &amp;nbsp; technical &amp;nbsp; support &amp;nbsp; for &amp;nbsp; website(s) &amp;nbsp; using the approved JNU templates in the content management system (CMS). CIS may provide server, storage space to the official websites that do not use JNU templates based on the availability of the infrastructure; however, such website(s) must be independently managed by the respective &amp;nbsp; units. &amp;nbsp; Web Contents Management and Uploading The uploading and changing of the contents of website(s) will be done as per the centralised/decentralised operations management process of the University and in line to the CMS based Role base Access to all system admins and users of the website(s). The request for uploading and changing of web centres will be attempted as per the existing functional structure and workflow of the University. However, publishing/uploading &amp;nbsp; of &amp;nbsp; ‘Awards &amp;nbsp; and &amp;nbsp; Recognition’ &amp;nbsp; related &amp;nbsp; details &amp;nbsp; should &amp;nbsp; be &amp;nbsp; submitted by the individual through the &amp;nbsp; duly filled form available &amp;nbsp; on Intranet. All data related to the projects, research and development will be uploaded and changed after due approvals of the Director, &amp;nbsp; R&amp;amp;D. The details published on the prominent places of main web pages of the website(s) will be archived generally after a week time. However specific and critical details</t>
        </is>
      </c>
    </row>
    <row r="14">
      <c r="A14" s="14" t="inlineStr">
        <is>
          <t>may stay on the main webpages for more than a week and as per the requirement of the administration or instructions from the Government of India from time to time &amp;nbsp; basis. All users’ ids will be created by CIS as per the role base access and privileges to be assigned to the respective users of the departments and accordingly permissions required to run the website in a decentralised &amp;nbsp; manner. CIS &amp;nbsp; will &amp;nbsp; maintain &amp;nbsp; the &amp;nbsp; information &amp;nbsp; available &amp;nbsp; at &amp;nbsp; the &amp;nbsp; landing &amp;nbsp; webpage &amp;nbsp; and &amp;nbsp; main &amp;nbsp; webpage of the University website in accordance with recommendations and approvals of the Website Committee. All changes should be done as per the due &amp;nbsp; approvals. The &amp;nbsp; contents &amp;nbsp; related &amp;nbsp; to &amp;nbsp; the &amp;nbsp; staff, &amp;nbsp; students’ &amp;nbsp; achievements, &amp;nbsp; awards &amp;nbsp; and &amp;nbsp; data &amp;nbsp; related &amp;nbsp; to the students should be verified by the concerned School/ Centre/ &amp;nbsp; Department. This policy is applicable for external links including third party web links, disclaimers, retention of data/contents, News and Media, Social Media and Intranet Portal as per the requirements of the &amp;nbsp; University. This policy will be applicable to all new website requirements for faculty members/program/laboratories/department/students etc. The data related with Projects, Thesis and Dissertation should be linked or uploaded on JNU website with approvals of library and concerned data owner of that &amp;nbsp; process. The data related to students’ placement/internship should be published through the website of the concerned School/ Centre/ &amp;nbsp; Department. The new requirement for changes, addition/ deletion, if any for Alumni [Alumni Association of JNU (AAJ) and Alumni Affairs Office (AAO)], JNUSU, JNUTA, Clubs and other JNU associated entities, and related new websites etc. should only be considered after approvals of the Competent &amp;nbsp; Authority. &amp;nbsp; Externally Hosted Web Content Non-</t>
        </is>
      </c>
    </row>
    <row r="15">
      <c r="A15" s="14" t="inlineStr">
        <is>
          <t>University web contents should not use or replicate the University's templates in a manner &amp;nbsp; that &amp;nbsp; confuses &amp;nbsp; content &amp;nbsp; ownership. &amp;nbsp; The &amp;nbsp; University &amp;nbsp; reserves &amp;nbsp; all &amp;nbsp; rights &amp;nbsp; in &amp;nbsp; its &amp;nbsp; trademarks, service marks, and copyrighted works, and unauthorized use is &amp;nbsp; prohibited. &amp;nbsp; Accessibility JNU &amp;nbsp; website(s) &amp;nbsp; must &amp;nbsp; comply &amp;nbsp; with &amp;nbsp; all &amp;nbsp; Government &amp;nbsp; of &amp;nbsp; India &amp;nbsp; Website &amp;nbsp; Guidelines &amp;nbsp; published &amp;nbsp; time to time in this &amp;nbsp; regard. &amp;nbsp; Web Applications/Databases Web applications and databases hosted on the JNU website(s) and representing an official communication of the University will adhere to standards referenced in this policy. &amp;nbsp; Advertising,&amp;nbsp;&amp;nbsp;&amp;nbsp; Political&amp;nbsp;&amp;nbsp;&amp;nbsp; and&amp;nbsp;&amp;nbsp;&amp;nbsp;&amp;nbsp; Commercial&amp;nbsp;&amp;nbsp;&amp;nbsp; Use,&amp;nbsp;&amp;nbsp;&amp;nbsp;&amp;nbsp; Endorsements&amp;nbsp;&amp;nbsp;&amp;nbsp;&amp;nbsp; and&amp;nbsp;&amp;nbsp;&amp;nbsp;&amp;nbsp; Sponsorship&amp;nbsp; Acknowledgements JNU policy does not to permit advertising and commercial activities on the JNU website. Use of the JNU website for political purposes and/or private gain is prohibited. &amp;nbsp; Confidentiality Maintenance and protection of proprietary information is the responsibility of the disclosing/receiving &amp;nbsp; unit. &amp;nbsp; This &amp;nbsp; includes &amp;nbsp; both &amp;nbsp; proprietary &amp;nbsp; information &amp;nbsp; originated &amp;nbsp; within &amp;nbsp; JNU &amp;nbsp; as well as the third party information provided to JNU under non-disclosure agreements. In addition, individuals are responsible for maintaining confidentiality of research where &amp;nbsp; the development of protectable technology is anticipated, as per the obligations of JNU's Intellectual Property Right (IPR) policy. &amp;nbsp; ACCEPTABLE USE OF POLICY The University’s faculty members, non-teaching staff and students accessing JNU website/CMS accounts is a privilege, not a right. Individuals who violate policies and procedures</t>
        </is>
      </c>
    </row>
    <row r="16">
      <c r="A16" s="14" t="inlineStr">
        <is>
          <t>contained in this document may have their website/CMS account privileges suspended or terminated immediately. &amp;nbsp; CONTACTS Specific queries may be directed to the following: &amp;nbsp; Subject &amp;nbsp; Contact &amp;nbsp; Telephone &amp;nbsp; E-Mail Address &amp;nbsp; Policy clarification, appeals and exemptions, guidelines, and IPR related &amp;nbsp; Director-CIS &amp;nbsp; 26704116 director_cis[at]mail[dot]jnu[dot]ac[dot]in Web support Webmaster 26704094/ 26738717 webmaster[at]jnu[dot]ac[dot]in &amp;nbsp; ← Back to Previous Page पृष्ठ अंतिम अद्यतन तिथि: 19-03-2026, 05:41 PM वेबसाइट पॉलिसी | सुरक्षा नीति | डिस्क्लेमर | साइटमैप | संपर्क करें | फीडबैक कॉपीराइट © 2026 - सर्वाधिकार सुरक्षित - जवाहरलाल नेहरू विश्वविद्यालय की आधिकारिक वेबसाइट, नई दिल्ली, भारत &amp;nbsp; अंतिम बार अद्यतन किया गया 17-10-2026 समर्थित ब्राउज़र: गूगल क्रोम 125+ | फ़ायरफ़ॉक्स 126+ | माइक्रोसॉफ्ट एज संस्करण 125+ | सफ़ारी 17+ नोट: इस वेबसाइट की सामग्री जवाहरलाल नेहरू विश्वविद्यालय की आधिकारिक वेबसाइट द्वारा प्रकाशित एवं प्रबंधित की जाती है।</t>
        </is>
      </c>
    </row>
    <row r="17">
      <c r="A17" s="14">
        <f>==== PAGE: https://www.jnu.ac.in/website-policy =====</f>
        <v/>
      </c>
    </row>
    <row r="18">
      <c r="A18" s="14" t="inlineStr">
        <is>
          <t>Website Policy | Official Website of Jawaharlal Nehru University, New Delhi, India JNU | RTI | Directory | Contact Us | Emergency Services | List of Holidays Search A - A A + Blue Black Theme Dark Grey Theme Default Theme हिंदी रूपांतरण Main menu ☰ Home about Administration ▼ Visitor Chancellor Vice Chancellor Dean of Students Director Admissions Registrar Finance Officer Controller of Examination Chief Proctor Chief Vigilance Officer Associate Deans of Students Directors Statutory Bodies ► University Court Executive Council Academic Council Finance Committee Academics ▼ Schools &amp;amp; Centres Deans &amp;amp; Special Centre&amp;#039;s Chairpersons Centre&amp;#039;s Chairpersons Advisors, Co-ordinators and Chairpersons Professors Emeritus Former Vice Chancellors Honorary Degrees Academic Calendar Academic Programme ► Programme List Admissions ▼ UG and COP e-Prospectus 2026-27 PG and ADOP e-Prospectus 2026-27 DOP e-Prospectus 2026-27 PhD e-Prospectus 2026-27 PhD e-Prospectus 2025-26 - Phase-II(Winter Semester) Admission Policy International Students Recognised Institutes Faculty ▼ Faculty Directory Profile Proforma (online) Faculty Search by School/Centre Students ▼ Hostel Administration Other Links Library ▼ Library Home Page Online Catalogue (Internet) Online Databases E-Journals JNU IRINS - Faculty Profile Shodhganga Shodhgangotri Single window search Alumni Website Policy Breadcrumb Home JNU WEBSITE POLICY STATEMENT JNU Administration is responsible only for the web contents published in the public domain through its official website(s), therefore all website(s) must adhere to the University website guidelines/policy. &amp;nbsp; This &amp;nbsp; policy &amp;nbsp; governs &amp;nbsp; on &amp;nbsp; all &amp;nbsp; the &amp;nbsp; public &amp;nbsp; facing &amp;nbsp; JNU &amp;nbsp; website(s) &amp;nbsp; created &amp;nbsp; using &amp;nbsp; the approved &amp;nbsp; Content &amp;nbsp; Management &amp;nbsp; System &amp;nbsp; (CMS) &amp;nbsp; of &amp;nbsp; the &amp;nbsp; University &amp;nbsp; and &amp;nbsp; any &amp;nbsp; other &amp;nbsp; web &amp;nbsp; contents, which are duly approved</t>
        </is>
      </c>
    </row>
    <row r="19">
      <c r="A19" s="14" t="inlineStr">
        <is>
          <t>by the Competent Authority of the University and to be hosted on the &amp;nbsp; University’s &amp;nbsp; Servers &amp;nbsp; or &amp;nbsp; Central &amp;nbsp; ICT &amp;nbsp; or &amp;nbsp; Cloud &amp;nbsp; Infrastructure &amp;nbsp; etc. &amp;nbsp; furnished &amp;nbsp; by &amp;nbsp; the &amp;nbsp; University. &amp;nbsp; All website(s) of the University designed for Administration, Academic activities, Facilities/Services, and School/Centre/Department must be created using the approved CMS unless given an exemption by the Competent Authority of the University. All website(s) hosted on JNU Servers or any arranged ICT Infrastructure must adhere to all sections of this policy. &amp;nbsp; JNU web contents, including its website, must be created in accordance with Government laws, &amp;nbsp; policies, &amp;nbsp; guidelines &amp;nbsp; and &amp;nbsp; JNU &amp;nbsp; standard &amp;nbsp; operating &amp;nbsp; procedures; &amp;nbsp; and &amp;nbsp; must &amp;nbsp; be &amp;nbsp; sustained &amp;nbsp; in &amp;nbsp; a manner that it maintains quality control, manages security risks, optimizes usability, easy access and provides data consistency. This policy defines the terms and conditions for all websites utilizing JNU &amp;nbsp; resources. &amp;nbsp; PURPOSE The purpose of this policy is to establish JNU procedures and guidelines for operating and maintaining some high quality web standards, ease to access, secure, compliant with Government of India website guidelines and service-oriented World Wide Web presence of the University. CIS internal central ICT facility of the University will support and assure development of the University’s webpages along with the coordinated efforts of various Schools/ Centre/ Departments of the University. This Web Policy describes the use of website(s) of the University &amp;nbsp; in &amp;nbsp; accordance &amp;nbsp; with &amp;nbsp; various &amp;nbsp; IT &amp;nbsp; standards &amp;nbsp; and &amp;nbsp; policies &amp;nbsp; of &amp;nbsp; Govt. &amp;nbsp; of &amp;nbsp; India &amp;nbsp; and &amp;nbsp; guidelines of the &amp;nbsp; University. CIS &amp;nbsp; of &amp;nbsp; JNU &amp;nbsp; is &amp;nbsp; responsible &amp;nbsp; for &amp;nbsp; managing &amp;nbsp; and</t>
        </is>
      </c>
    </row>
    <row r="20">
      <c r="A20" s="14" t="inlineStr">
        <is>
          <t>&amp;nbsp; maintaining &amp;nbsp; the &amp;nbsp; World &amp;nbsp; Wide &amp;nbsp; Web &amp;nbsp; presence &amp;nbsp; of &amp;nbsp; the University, in concurrences of the website committee composed from various departments of JNU and also as advised by CIS Advisory committee of the &amp;nbsp; University. A Website Committee should also be constituted with the approval of the competent authority in order to manage and address the new issues of websites. It will advise the Competent Authority for changes to the guidelines, if any and help incorporating new operating procedures and functional requirements, and for submitting the technical status reports &amp;nbsp; for &amp;nbsp; the &amp;nbsp; consideration &amp;nbsp; of &amp;nbsp; JNU &amp;nbsp; Competent &amp;nbsp; Authority &amp;nbsp; prior &amp;nbsp; to &amp;nbsp; the &amp;nbsp; implementation &amp;nbsp; of &amp;nbsp; new platform, &amp;nbsp; policies. &amp;nbsp; SCOPE OF &amp;nbsp; POLICY This policy applies to all including: Vice Chancellor Rectors, Registrar, Finance Officer, CoE, &amp;nbsp; DoA Directors, Deans &amp;amp; Chairpersons, &amp;nbsp; Co-coordinators Faculty &amp;nbsp; Members Staff Students and research &amp;nbsp; scholars Contractual Staff or other associated manpower deputed in the &amp;nbsp; University ICT Infrastructure: All web servers connected to, and web pages hosted on, the .ac.in, edu.in, res.in domains of &amp;nbsp; JNU. Web Servers: All web servers belonging to JNU, regardless of their domain, and all web pages hosted on them, regardless of &amp;nbsp; contents. eResources: All web resources that represent JNU, it affiliates in an official capacity, regardless of their domain or where they are &amp;nbsp; hosted. &amp;nbsp; Copyright Policy Material featured on this Portal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 However, the permission to reproduce this</t>
        </is>
      </c>
    </row>
    <row r="21">
      <c r="A21" s="14" t="inlineStr">
        <is>
          <t>material shall not extend to any material which is identified as being copyright of a third party. Authorisation to reproduce such material must be obtained from the departments/copyright holders concerned. &amp;nbsp; Privacy Policy JNU-Website does not automatically capture any specific personal information from you, (like name, phone number or e-mail address), that allows us to identify you individually. If the JNU-Website requests you to provide personal information, you will be informed for the particular purposes for which the information is gathered and adequate security measures will be taken to protect your personal information. We do not sell or share any personally identifiable information volunteered on the JNU-Website to any third party (public/private). Any information provided to this website will be protected from loss, misuse, unauthorized access or disclosure, alteration, or destruction. We gather certain information about the User, such as Internet protocol (IP) addresses, domain name, browser type, operating system, the date and time of the visit and the pages visited. We make no attempt to link these addresses with the identity of individuals visiting our site unless an attempt to damage the site has been detected. &amp;nbsp; Hyper-linking Policy 1. Links to external websites/portals At many places in this website, you shall find links to other websites/portals. The links have been placed for your convenience.JNU is not responsible for the contents and reliability of the linked websites and does not necessarily endorse the views expressed in them. Mere presence of the link or its listing on this Portal should not be assumed as endorsement of any kind. We cannot guarantee that these links will work all the time and we have no control over availability of linked pages. 2. Links to JNU-Website by other websites We do not object to you linking directly to the information that is hosted on this site and no prior permission is required for the same. However,</t>
        </is>
      </c>
    </row>
    <row r="22">
      <c r="A22" s="14" t="inlineStr">
        <is>
          <t>we would like you to inform us about any links provided to this Portal so that you can be informed of any changes or updations therein. Also, we do not permit our pages to be loaded into frames on your site. The pages belonging to this site must load into a newly opened browser window of the User. For more details and banners to link to our Portal visit our Link to Us Section. &amp;nbsp; DEFINITIONS &amp;nbsp; Content Management System (CMS) &amp;nbsp; Software application used to store, edit, retrieve, and publish web pages through various by default and customised templates. &amp;nbsp; CMS based Website Admin Access &amp;nbsp; A University representative with authorized access to edit, manage, delete web contents of the respective website(s). &amp;nbsp; CMS Publisher &amp;nbsp; The individual with access rights to publish (make content live in the public domain) in the CMS platform. &amp;nbsp; Web Content Owner &amp;nbsp; The individual nominated from School/Centre/Department with primary responsibility for all types of data of web contents. &amp;nbsp; Database &amp;nbsp; A collection of organized, related data, in the electronic form that can be accessed and manipulated using the specialized computer software. &amp;nbsp; Domain &amp;nbsp; It represents a web presence entity on the Internet. JNU's official domain names are mainly jnu.ac.in, jnu.edu.in and jnu.res.in. &amp;nbsp; External Website Website developed, maintained or hosted by entities other than JNU but has an officially recognized relationship with the University. The website is used by the University to associate official activities. Externally Hosted Web Content University &amp;nbsp; web &amp;nbsp; content &amp;nbsp; hostedby &amp;nbsp; external &amp;nbsp; service &amp;nbsp; providers &amp;nbsp; and &amp;nbsp; managed through University owned contracts is also governed by sections of this policy. Personal Website Website &amp;nbsp; developed &amp;nbsp; and &amp;nbsp; maintained &amp;nbsp; by &amp;nbsp; JNU &amp;nbsp; students/ &amp;nbsp; faculty &amp;nbsp; members &amp;nbsp; or staff individually for the purpose of</t>
        </is>
      </c>
    </row>
    <row r="23">
      <c r="A23" s="14" t="inlineStr">
        <is>
          <t>personal uses that are not related to the individual's officially capacity, recognized relationship with the University. Faculty or Staff Profile Page A standard web page for individual faculty or staff that is auto-populated with proper defined directory information. University Web Content Any content (i.e. text, data, images, documents, video and audio files) hosted on JNU servers or by outside through outsourced engagement that &amp;nbsp; represent &amp;nbsp; the &amp;nbsp; work &amp;nbsp; of &amp;nbsp; the &amp;nbsp; University &amp;nbsp; and &amp;nbsp; such &amp;nbsp; contents &amp;nbsp; are &amp;nbsp; owned &amp;nbsp; by theUniversity. Web Team Technical Staff with official responsibility for managing all JNU public facing websites/web contents. Website A set of related web resources, generally organized under a particular domain name in a structured manner. RESPONSIBILITIES Data/Content Owner To &amp;nbsp; reviewand &amp;nbsp; ensure &amp;nbsp; updatedweb &amp;nbsp; content &amp;nbsp; for &amp;nbsp; their &amp;nbsp; respective School/Centre/Department/Section/ &amp;nbsp; Unit. Communication and Information Services (CIS) To provide technical operations, maintenance of web contents hosted on central facility/servers and services for University website as a Custodian of &amp;nbsp; data/content. To provide oversight, standards for design, editorial content, manage CMS access, and system administration of the University'swebsite. To maintain and enforce Government of India guidelines/ policies. Create &amp;nbsp; and &amp;nbsp; maintain &amp;nbsp; a &amp;nbsp; web &amp;nbsp; presence &amp;nbsp; of &amp;nbsp; the &amp;nbsp; University &amp;nbsp; in &amp;nbsp; the public domains that adheres to this &amp;nbsp; policy. To &amp;nbsp; providetechnical &amp;nbsp; assistance &amp;nbsp; for &amp;nbsp; end-to-end &amp;nbsp; management of the website i.e. starting from creation to hosting of the website(s). Web Content Ownership and Responsibility Web &amp;nbsp; content &amp;nbsp; ownership &amp;nbsp; and &amp;nbsp; responsibility &amp;nbsp; will &amp;nbsp; be &amp;nbsp; with &amp;nbsp; the &amp;nbsp; Deans, &amp;nbsp; Chairpersons, &amp;nbsp; Directors &amp;nbsp;</t>
        </is>
      </c>
    </row>
    <row r="24">
      <c r="A24" s="14" t="inlineStr">
        <is>
          <t>and HoDs, who are ultimately responsible for all web data and the contents of their respective website(s). &amp;nbsp; CIS as custodian of Central ICT Infrastructure, Website(s) will ensure secure and smooth access to all internal and external users of the University. CIS will provide overall end to end Website Consultation, CMS Platform Development, Manage Security and ensure availability of Website(s) and Technical Support to the users of website(s). &amp;nbsp; Exemptions Requests for any exemption to this policy must be made in writing to the Competent Authority of the University with the proper justification and reason for exemption. If an exemption &amp;nbsp; is &amp;nbsp; not &amp;nbsp; granted &amp;nbsp; by &amp;nbsp; the &amp;nbsp; Competent &amp;nbsp; Authority, &amp;nbsp; then &amp;nbsp; all &amp;nbsp; web contents &amp;nbsp; must &amp;nbsp; adhere &amp;nbsp; to the website policy as defined in the &amp;nbsp; document. &amp;nbsp; All approved exemptions will be reviewed annually by CIS in consultation with content/data owners. Upon review, the University may or may not renew the further exemption based on the requirement of the users at that moment. If an exemption is not renewed, the websites and web contents must adhere to the requirements outlined in this policy document. &amp;nbsp; Right to Appeal Content owners or developers who have their web content removed or modified may appeal the decision in writing to the Competent Authority. &amp;nbsp; Disclaimer The &amp;nbsp; University &amp;nbsp; is &amp;nbsp; not &amp;nbsp; responsible &amp;nbsp; for &amp;nbsp; loss &amp;nbsp; of &amp;nbsp; information &amp;nbsp; from &amp;nbsp; computing, &amp;nbsp; misuse, &amp;nbsp; malfunction of computing hardware, malfunction of computing software, or external contamination of data or &amp;nbsp; programs. &amp;nbsp; Violations/Non-Compliance The web contents and/or web links found to be in violation of JNU policies or Government rules will be removed at the direction of the Competent Authority of the University after a reasonable attempt is made to identify and inform the content owner. The &amp;nbsp;</t>
        </is>
      </c>
    </row>
    <row r="25">
      <c r="A25" s="14" t="inlineStr">
        <is>
          <t>following &amp;nbsp; reasons &amp;nbsp; are &amp;nbsp; also &amp;nbsp; grounds &amp;nbsp; for &amp;nbsp; termination &amp;nbsp; after &amp;nbsp; a &amp;nbsp; reasonable &amp;nbsp; attempt &amp;nbsp; is &amp;nbsp; made &amp;nbsp; to identify and inform the content &amp;nbsp; owner: Content does not adhere to the University's &amp;nbsp; guidelines/policies. Content violates IPR, copyright &amp;nbsp; laws. Content is harmful, obscene, offensive, defamatory, threatening or disrupting social harmony. Content is designed for personal purpose, or private financial gain or compensation, unless authorized in the University with due approval of the Competent &amp;nbsp; Authority. Content is used to intimidate or single out an individual or group for degradation or harassment in violation of Government laws and the University &amp;nbsp; policy. Content is used to engage in or solicit any illegal activity in violation of Government laws or official University &amp;nbsp; policy. Content is outdated, inaccurate or poorly &amp;nbsp; presented. Content appears to be &amp;nbsp; abandoned. Content poses a performance problem, privacy issues or security &amp;nbsp; risks. Content does not adhere to the University's &amp;nbsp; guidelines. &amp;nbsp; Content Management System (CMS) Any &amp;nbsp; website &amp;nbsp; officially &amp;nbsp; representing &amp;nbsp; JNU &amp;nbsp; must &amp;nbsp; be &amp;nbsp; in &amp;nbsp; the &amp;nbsp; approved &amp;nbsp; CMS. &amp;nbsp; The &amp;nbsp; hosting &amp;nbsp; of &amp;nbsp; JNU &amp;nbsp; web pages on non-JNU servers must be approved by the Competent Authority of the &amp;nbsp; University. Any unit or individual seeking a complete exemption to the CMS must provide a content management plan to the Competent Authority of the University relations that addresses the following: Description of the purpose and &amp;nbsp; justification. Description of how internal website access is managed and how JNU administration could access the website, if &amp;nbsp; needed. Compliance with World Wide Web Consortium (W3C) and JNU website &amp;nbsp; guidelines. Description of how the website will not hinder a users’ ability to access</t>
        </is>
      </c>
    </row>
    <row r="26">
      <c r="A26" s="14" t="inlineStr">
        <is>
          <t>web &amp;nbsp; content. &amp;nbsp; The technical aspects associated with proper website design should be implemented as part of &amp;nbsp; the &amp;nbsp; CMS &amp;nbsp; framework &amp;nbsp; and &amp;nbsp; industry &amp;nbsp; standards, &amp;nbsp; and &amp;nbsp; thus &amp;nbsp; should &amp;nbsp; not &amp;nbsp; be &amp;nbsp; at &amp;nbsp; the &amp;nbsp; discretion &amp;nbsp; of &amp;nbsp; the content manager. This should also &amp;nbsp; include: Sitemap implementation URL &amp;nbsp; structure Coding &amp;nbsp; style Browser compatibility Many code aspects of SEO (Search Engine &amp;nbsp; Optimizations) Visual identity and &amp;nbsp; style Most aspects of layout format and &amp;nbsp; elements &amp;nbsp; PROCEDURES Web Hosting JNU website(s) that are required to use the CMS are also required to use predefined template(s) and will be hosted by CIS. The CMS based website(s) should give all users a standard &amp;nbsp; access &amp;nbsp; to &amp;nbsp; the &amp;nbsp; information. &amp;nbsp; CIS &amp;nbsp; only &amp;nbsp; will &amp;nbsp; provide &amp;nbsp; technical &amp;nbsp; support &amp;nbsp; for &amp;nbsp; website(s) &amp;nbsp; using the approved JNU templates in the content management system (CMS). CIS may provide server, storage space to the official websites that do not use JNU templates based on the availability of the infrastructure; however, such website(s) must be independently managed by the respective &amp;nbsp; units. &amp;nbsp; Web Contents Management and Uploading The uploading and changing of the contents of website(s) will be done as per the centralised/decentralised operations management process of the University and in line to the CMS based Role base Access to all system admins and users of the website(s). The request for uploading and changing of web centres will be attempted as per the existing functional structure and workflow of the University. However, publishing/uploading &amp;nbsp; of &amp;nbsp; ‘Awards &amp;nbsp; and &amp;nbsp; Recognition’ &amp;nbsp; related &amp;nbsp; details &amp;nbsp; should &amp;nbsp; be &amp;nbsp; submitted by the individual through the &amp;nbsp; duly filled form available &amp;nbsp; on Intranet. All data related to the</t>
        </is>
      </c>
    </row>
    <row r="27">
      <c r="A27" s="14" t="inlineStr">
        <is>
          <t>projects, research and development will be uploaded and changed after due approvals of the Director, &amp;nbsp; R&amp;amp;D. The details published on the prominent places of main web pages of the website(s) will be archived generally after a week time. However specific and critical details may stay on the main webpages for more than a week and as per the requirement of the administration or instructions from the Government of India from time to time &amp;nbsp; basis. All users’ ids will be created by CIS as per the role base access and privileges to be assigned to the respective users of the departments and accordingly permissions required to run the website in a decentralised &amp;nbsp; manner. CIS &amp;nbsp; will &amp;nbsp; maintain &amp;nbsp; the &amp;nbsp; information &amp;nbsp; available &amp;nbsp; at &amp;nbsp; the &amp;nbsp; landing &amp;nbsp; webpage &amp;nbsp; and &amp;nbsp; main &amp;nbsp; webpage of the University website in accordance with recommendations and approvals of the Website Committee. All changes should be done as per the due &amp;nbsp; approvals. The &amp;nbsp; contents &amp;nbsp; related &amp;nbsp; to &amp;nbsp; the &amp;nbsp; staff, &amp;nbsp; students’ &amp;nbsp; achievements, &amp;nbsp; awards &amp;nbsp; and &amp;nbsp; data &amp;nbsp; related &amp;nbsp; to the students should be verified by the concerned School/ Centre/ &amp;nbsp; Department. This policy is applicable for external links including third party web links, disclaimers, retention of data/contents, News and Media, Social Media and Intranet Portal as per the requirements of the &amp;nbsp; University. This policy will be applicable to all new website requirements for faculty members/program/laboratories/department/students etc. The data related with Projects, Thesis and Dissertation should be linked or uploaded on JNU website with approvals of library and concerned data owner of that &amp;nbsp; process. The data related to students’ placement/internship should be published through the website of the concerned School/ Centre/ &amp;nbsp; Department. The new requirement for changes, addition/ deletion, if any for</t>
        </is>
      </c>
    </row>
    <row r="28">
      <c r="A28" s="14" t="inlineStr">
        <is>
          <t>Alumni [Alumni Association of JNU (AAJ) and Alumni Affairs Office (AAO)], JNUSU, JNUTA, Clubs and other JNU associated entities, and related new websites etc. should only be considered after approvals of the Competent &amp;nbsp; Authority. &amp;nbsp; Externally Hosted Web Content Non-University web contents should not use or replicate the University's templates in a manner &amp;nbsp; that &amp;nbsp; confuses &amp;nbsp; content &amp;nbsp; ownership. &amp;nbsp; The &amp;nbsp; University &amp;nbsp; reserves &amp;nbsp; all &amp;nbsp; rights &amp;nbsp; in &amp;nbsp; its &amp;nbsp; trademarks, service marks, and copyrighted works, and unauthorized use is &amp;nbsp; prohibited. &amp;nbsp; Accessibility JNU &amp;nbsp; website(s) &amp;nbsp; must &amp;nbsp; comply &amp;nbsp; with &amp;nbsp; all &amp;nbsp; Government &amp;nbsp; of &amp;nbsp; India &amp;nbsp; Website &amp;nbsp; Guidelines &amp;nbsp; published &amp;nbsp; time to time in this &amp;nbsp; regard. &amp;nbsp; Web Applications/Databases Web applications and databases hosted on the JNU website(s) and representing an official communication of the University will adhere to standards referenced in this policy. &amp;nbsp; Advertising,&amp;nbsp;&amp;nbsp;&amp;nbsp; Political&amp;nbsp;&amp;nbsp;&amp;nbsp; and&amp;nbsp;&amp;nbsp;&amp;nbsp;&amp;nbsp; Commercial&amp;nbsp;&amp;nbsp;&amp;nbsp; Use,&amp;nbsp;&amp;nbsp;&amp;nbsp;&amp;nbsp; Endorsements&amp;nbsp;&amp;nbsp;&amp;nbsp;&amp;nbsp; and&amp;nbsp;&amp;nbsp;&amp;nbsp;&amp;nbsp; Sponsorship&amp;nbsp; Acknowledgements JNU policy does not to permit advertising and commercial activities on the JNU website. Use of the JNU website for political purposes and/or private gain is prohibited. &amp;nbsp; Confidentiality Maintenance and protection of proprietary information is the responsibility of the disclosing/receiving &amp;nbsp; unit. &amp;nbsp; This &amp;nbsp; includes &amp;nbsp; both &amp;nbsp; proprietary &amp;nbsp; information &amp;nbsp; originated &amp;nbsp; within &amp;nbsp; JNU &amp;nbsp; as well as the third party information provided to JNU under non-disclosure agreements. In addition, individuals are responsible for maintaining confidentiality of research where &amp;nbsp; the development of protectable technology is anticipated, as per the</t>
        </is>
      </c>
    </row>
    <row r="29">
      <c r="A29" s="14" t="inlineStr">
        <is>
          <t>obligations of JNU's Intellectual Property Right (IPR) policy. &amp;nbsp; ACCEPTABLE USE OF POLICY The University’s faculty members, non-teaching staff and students accessing JNU website/CMS accounts is a privilege, not a right. Individuals who violate policies and procedures contained in this document may have their website/CMS account privileges suspended or terminated immediately. &amp;nbsp; CONTACTS Specific queries may be directed to the following: &amp;nbsp; Subject &amp;nbsp; Contact &amp;nbsp; Telephone &amp;nbsp; E-Mail Address &amp;nbsp; Policy clarification, appeals and exemptions, guidelines, and IPR related &amp;nbsp; Director-CIS &amp;nbsp; 26704116 director_cis[at]mail[dot]jnu[dot]ac[dot]in Web support Webmaster 26704094/ 26738717 webmaster[at]jnu[dot]ac[dot]in &amp;nbsp; ← Back to Previous Page Page Last Updated Date: 19-03-2026, 05:41 PM Website Policy | Security Policy | Disclaimer | SiteMap | Contact Us | Feedback Copyright © 2026 - All Rights Reserved - Official Website of Jawaharlal Nehru University, New Delhi, India &amp;nbsp; Last reviewed and updated on 17-10-2026 Supports: Google Chrome 125+ | Firefox 126+ | Microsoft Edge Version 125+ | Safari 17+ Note: Contents on this website are published and managed by Jawaharlal Nehru University.</t>
        </is>
      </c>
    </row>
    <row r="30">
      <c r="A30" s="14">
        <f>==== PAGE: https://jnu.ac.in/website-policy =====</f>
        <v/>
      </c>
    </row>
    <row r="31">
      <c r="A31" s="14" t="inlineStr">
        <is>
          <t>Website Policy | Official Website of Jawaharlal Nehru University, New Delhi, India JNU | RTI | Directory | Contact Us | Emergency Services | List of Holidays Search A - A A + Blue Black Theme Dark Grey Theme Default Theme हिंदी रूपांतरण Main menu ☰ Home about Administration ▼ Visitor Chancellor Vice Chancellor Dean of Students Director Admissions Registrar Finance Officer Controller of Examination Chief Proctor Chief Vigilance Officer Associate Deans of Students Directors Statutory Bodies ► University Court Executive Council Academic Council Finance Committee Academics ▼ Schools &amp;amp; Centres Deans &amp;amp; Special Centre&amp;#039;s Chairpersons Centre&amp;#039;s Chairpersons Advisors, Co-ordinators and Chairpersons Professors Emeritus Former Vice Chancellors Honorary Degrees Academic Calendar Academic Programme ► Programme List Admissions ▼ UG and COP e-Prospectus 2026-27 PG and ADOP e-Prospectus 2026-27 DOP e-Prospectus 2026-27 PhD e-Prospectus 2026-27 PhD e-Prospectus 2025-26 - Phase-II(Winter Semester) Admission Policy International Students Recognised Institutes Faculty ▼ Faculty Directory Profile Proforma (online) Faculty Search by School/Centre Students ▼ Hostel Administration Other Links Library ▼ Library Home Page Online Catalogue (Internet) Online Databases E-Journals JNU IRINS - Faculty Profile Shodhganga Shodhgangotri Single window search Alumni Website Policy Breadcrumb Home Website Policy JNU WEBSITE POLICY STATEMENT JNU Administration is responsible only for the web contents published in the public domain through its official website(s), therefore all website(s) must adhere to the University website guidelines/policy. &amp;nbsp; This &amp;nbsp; policy &amp;nbsp; governs &amp;nbsp; on &amp;nbsp; all &amp;nbsp; the &amp;nbsp; public &amp;nbsp; facing &amp;nbsp; JNU &amp;nbsp; website(s) &amp;nbsp; created &amp;nbsp; using &amp;nbsp; the approved &amp;nbsp; Content &amp;nbsp; Management &amp;nbsp; System &amp;nbsp; (CMS) &amp;nbsp; of &amp;nbsp; the &amp;nbsp; University &amp;nbsp; and &amp;nbsp; any &amp;nbsp; other &amp;nbsp; web &amp;nbsp; contents, which are</t>
        </is>
      </c>
    </row>
    <row r="32">
      <c r="A32" s="14" t="inlineStr">
        <is>
          <t>duly approved by the Competent Authority of the University and to be hosted on the &amp;nbsp; University’s &amp;nbsp; Servers &amp;nbsp; or &amp;nbsp; Central &amp;nbsp; ICT &amp;nbsp; or &amp;nbsp; Cloud &amp;nbsp; Infrastructure &amp;nbsp; etc. &amp;nbsp; furnished &amp;nbsp; by &amp;nbsp; the &amp;nbsp; University. &amp;nbsp; All website(s) of the University designed for Administration, Academic activities, Facilities/Services, and School/Centre/Department must be created using the approved CMS unless given an exemption by the Competent Authority of the University. All website(s) hosted on JNU Servers or any arranged ICT Infrastructure must adhere to all sections of this policy. &amp;nbsp; JNU web contents, including its website, must be created in accordance with Government laws, &amp;nbsp; policies, &amp;nbsp; guidelines &amp;nbsp; and &amp;nbsp; JNU &amp;nbsp; standard &amp;nbsp; operating &amp;nbsp; procedures; &amp;nbsp; and &amp;nbsp; must &amp;nbsp; be &amp;nbsp; sustained &amp;nbsp; in &amp;nbsp; a manner that it maintains quality control, manages security risks, optimizes usability, easy access and provides data consistency. This policy defines the terms and conditions for all websites utilizing JNU &amp;nbsp; resources. &amp;nbsp; PURPOSE The purpose of this policy is to establish JNU procedures and guidelines for operating and maintaining some high quality web standards, ease to access, secure, compliant with Government of India website guidelines and service-oriented World Wide Web presence of the University. CIS internal central ICT facility of the University will support and assure development of the University’s webpages along with the coordinated efforts of various Schools/ Centre/ Departments of the University. This Web Policy describes the use of website(s) of the University &amp;nbsp; in &amp;nbsp; accordance &amp;nbsp; with &amp;nbsp; various &amp;nbsp; IT &amp;nbsp; standards &amp;nbsp; and &amp;nbsp; policies &amp;nbsp; of &amp;nbsp; Govt. &amp;nbsp; of &amp;nbsp; India &amp;nbsp; and &amp;nbsp; guidelines of the &amp;nbsp; University. CIS &amp;nbsp; of &amp;nbsp; JNU &amp;nbsp; is &amp;nbsp; responsible &amp;nbsp; for &amp;nbsp; managing</t>
        </is>
      </c>
    </row>
    <row r="33">
      <c r="A33" s="14" t="inlineStr">
        <is>
          <t>&amp;nbsp; and &amp;nbsp; maintaining &amp;nbsp; the &amp;nbsp; World &amp;nbsp; Wide &amp;nbsp; Web &amp;nbsp; presence &amp;nbsp; of &amp;nbsp; the University, in concurrences of the website committee composed from various departments of JNU and also as advised by CIS Advisory committee of the &amp;nbsp; University. A Website Committee should also be constituted with the approval of the competent authority in order to manage and address the new issues of websites. It will advise the Competent Authority for changes to the guidelines, if any and help incorporating new operating procedures and functional requirements, and for submitting the technical status reports &amp;nbsp; for &amp;nbsp; the &amp;nbsp; consideration &amp;nbsp; of &amp;nbsp; JNU &amp;nbsp; Competent &amp;nbsp; Authority &amp;nbsp; prior &amp;nbsp; to &amp;nbsp; the &amp;nbsp; implementation &amp;nbsp; of &amp;nbsp; new platform, &amp;nbsp; policies. &amp;nbsp; SCOPE OF &amp;nbsp; POLICY This policy applies to all including: Vice Chancellor Rectors, Registrar, Finance Officer, CoE, &amp;nbsp; DoA Directors, Deans &amp;amp; Chairpersons, &amp;nbsp; Co-coordinators Faculty &amp;nbsp; Members Staff Students and research &amp;nbsp; scholars Contractual Staff or other associated manpower deputed in the &amp;nbsp; University ICT Infrastructure: All web servers connected to, and web pages hosted on, the .ac.in, edu.in, res.in domains of &amp;nbsp; JNU. Web Servers: All web servers belonging to JNU, regardless of their domain, and all web pages hosted on them, regardless of &amp;nbsp; contents. eResources: All web resources that represent JNU, it affiliates in an official capacity, regardless of their domain or where they are &amp;nbsp; hosted. &amp;nbsp; Copyright Policy Material featured on this Portal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 However, the permission to</t>
        </is>
      </c>
    </row>
    <row r="34">
      <c r="A34" s="14" t="inlineStr">
        <is>
          <t>reproduce this material shall not extend to any material which is identified as being copyright of a third party. Authorisation to reproduce such material must be obtained from the departments/copyright holders concerned. &amp;nbsp; Privacy Policy JNU-Website does not automatically capture any specific personal information from you, (like name, phone number or e-mail address), that allows us to identify you individually. If the JNU-Website requests you to provide personal information, you will be informed for the particular purposes for which the information is gathered and adequate security measures will be taken to protect your personal information. We do not sell or share any personally identifiable information volunteered on the JNU-Website to any third party (public/private). Any information provided to this website will be protected from loss, misuse, unauthorized access or disclosure, alteration, or destruction. We gather certain information about the User, such as Internet protocol (IP) addresses, domain name, browser type, operating system, the date and time of the visit and the pages visited. We make no attempt to link these addresses with the identity of individuals visiting our site unless an attempt to damage the site has been detected. &amp;nbsp; Hyper-linking Policy 1. Links to external websites/portals At many places in this website, you shall find links to other websites/portals. The links have been placed for your convenience.JNU is not responsible for the contents and reliability of the linked websites and does not necessarily endorse the views expressed in them. Mere presence of the link or its listing on this Portal should not be assumed as endorsement of any kind. We cannot guarantee that these links will work all the time and we have no control over availability of linked pages. 2. Links to JNU-Website by other websites We do not object to you linking directly to the information that is hosted on this site and no prior permission is required for the</t>
        </is>
      </c>
    </row>
    <row r="35">
      <c r="A35" s="14" t="inlineStr">
        <is>
          <t>same. However, we would like you to inform us about any links provided to this Portal so that you can be informed of any changes or updations therein. Also, we do not permit our pages to be loaded into frames on your site. The pages belonging to this site must load into a newly opened browser window of the User. For more details and banners to link to our Portal visit our Link to Us Section. &amp;nbsp; DEFINITIONS &amp;nbsp; Content Management System (CMS) &amp;nbsp; Software application used to store, edit, retrieve, and publish web pages through various by default and customised templates. &amp;nbsp; CMS based Website Admin Access &amp;nbsp; A University representative with authorized access to edit, manage, delete web contents of the respective website(s). &amp;nbsp; CMS Publisher &amp;nbsp; The individual with access rights to publish (make content live in the public domain) in the CMS platform. &amp;nbsp; Web Content Owner &amp;nbsp; The individual nominated from School/Centre/Department with primary responsibility for all types of data of web contents. &amp;nbsp; Database &amp;nbsp; A collection of organized, related data, in the electronic form that can be accessed and manipulated using the specialized computer software. &amp;nbsp; Domain &amp;nbsp; It represents a web presence entity on the Internet. JNU's official domain names are mainly jnu.ac.in, jnu.edu.in and jnu.res.in. &amp;nbsp; External Website Website developed, maintained or hosted by entities other than JNU but has an officially recognized relationship with the University. The website is used by the University to associate official activities. Externally Hosted Web Content University &amp;nbsp; web &amp;nbsp; content &amp;nbsp; hostedby &amp;nbsp; external &amp;nbsp; service &amp;nbsp; providers &amp;nbsp; and &amp;nbsp; managed through University owned contracts is also governed by sections of this policy. Personal Website Website &amp;nbsp; developed &amp;nbsp; and &amp;nbsp; maintained &amp;nbsp; by &amp;nbsp; JNU &amp;nbsp; students/ &amp;nbsp; faculty &amp;nbsp; members &amp;nbsp; or staff individually for the</t>
        </is>
      </c>
    </row>
    <row r="36">
      <c r="A36" s="14" t="inlineStr">
        <is>
          <t>purpose of personal uses that are not related to the individual's officially capacity, recognized relationship with the University. Faculty or Staff Profile Page A standard web page for individual faculty or staff that is auto-populated with proper defined directory information. University Web Content Any content (i.e. text, data, images, documents, video and audio files) hosted on JNU servers or by outside through outsourced engagement that &amp;nbsp; represent &amp;nbsp; the &amp;nbsp; work &amp;nbsp; of &amp;nbsp; the &amp;nbsp; University &amp;nbsp; and &amp;nbsp; such &amp;nbsp; contents &amp;nbsp; are &amp;nbsp; owned &amp;nbsp; by theUniversity. Web Team Technical Staff with official responsibility for managing all JNU public facing websites/web contents. Website A set of related web resources, generally organized under a particular domain name in a structured manner. RESPONSIBILITIES Data/Content Owner To &amp;nbsp; reviewand &amp;nbsp; ensure &amp;nbsp; updatedweb &amp;nbsp; content &amp;nbsp; for &amp;nbsp; their &amp;nbsp; respective School/Centre/Department/Section/ &amp;nbsp; Unit. Communication and Information Services (CIS) To provide technical operations, maintenance of web contents hosted on central facility/servers and services for University website as a Custodian of &amp;nbsp; data/content. To provide oversight, standards for design, editorial content, manage CMS access, and system administration of the University'swebsite. To maintain and enforce Government of India guidelines/ policies. Create &amp;nbsp; and &amp;nbsp; maintain &amp;nbsp; a &amp;nbsp; web &amp;nbsp; presence &amp;nbsp; of &amp;nbsp; the &amp;nbsp; University &amp;nbsp; in &amp;nbsp; the public domains that adheres to this &amp;nbsp; policy. To &amp;nbsp; providetechnical &amp;nbsp; assistance &amp;nbsp; for &amp;nbsp; end-to-end &amp;nbsp; management of the website i.e. starting from creation to hosting of the website(s). Web Content Ownership and Responsibility Web &amp;nbsp; content &amp;nbsp; ownership &amp;nbsp; and &amp;nbsp; responsibility &amp;nbsp; will &amp;nbsp; be &amp;nbsp; with &amp;nbsp; the &amp;nbsp; Deans, &amp;nbsp; Chairpersons, &amp;nbsp;</t>
        </is>
      </c>
    </row>
    <row r="37">
      <c r="A37" s="14" t="inlineStr">
        <is>
          <t>Directors &amp;nbsp; and HoDs, who are ultimately responsible for all web data and the contents of their respective website(s). &amp;nbsp; CIS as custodian of Central ICT Infrastructure, Website(s) will ensure secure and smooth access to all internal and external users of the University. CIS will provide overall end to end Website Consultation, CMS Platform Development, Manage Security and ensure availability of Website(s) and Technical Support to the users of website(s). &amp;nbsp; Exemptions Requests for any exemption to this policy must be made in writing to the Competent Authority of the University with the proper justification and reason for exemption. If an exemption &amp;nbsp; is &amp;nbsp; not &amp;nbsp; granted &amp;nbsp; by &amp;nbsp; the &amp;nbsp; Competent &amp;nbsp; Authority, &amp;nbsp; then &amp;nbsp; all &amp;nbsp; web contents &amp;nbsp; must &amp;nbsp; adhere &amp;nbsp; to the website policy as defined in the &amp;nbsp; document. &amp;nbsp; All approved exemptions will be reviewed annually by CIS in consultation with content/data owners. Upon review, the University may or may not renew the further exemption based on the requirement of the users at that moment. If an exemption is not renewed, the websites and web contents must adhere to the requirements outlined in this policy document. &amp;nbsp; Right to Appeal Content owners or developers who have their web content removed or modified may appeal the decision in writing to the Competent Authority. &amp;nbsp; Disclaimer The &amp;nbsp; University &amp;nbsp; is &amp;nbsp; not &amp;nbsp; responsible &amp;nbsp; for &amp;nbsp; loss &amp;nbsp; of &amp;nbsp; information &amp;nbsp; from &amp;nbsp; computing, &amp;nbsp; misuse, &amp;nbsp; malfunction of computing hardware, malfunction of computing software, or external contamination of data or &amp;nbsp; programs. &amp;nbsp; Violations/Non-Compliance The web contents and/or web links found to be in violation of JNU policies or Government rules will be removed at the direction of the Competent Authority of the University after a reasonable attempt is made to identify and inform the content</t>
        </is>
      </c>
    </row>
    <row r="38">
      <c r="A38" s="14" t="inlineStr">
        <is>
          <t>owner. The &amp;nbsp; following &amp;nbsp; reasons &amp;nbsp; are &amp;nbsp; also &amp;nbsp; grounds &amp;nbsp; for &amp;nbsp; termination &amp;nbsp; after &amp;nbsp; a &amp;nbsp; reasonable &amp;nbsp; attempt &amp;nbsp; is &amp;nbsp; made &amp;nbsp; to identify and inform the content &amp;nbsp; owner: Content does not adhere to the University's &amp;nbsp; guidelines/policies. Content violates IPR, copyright &amp;nbsp; laws. Content is harmful, obscene, offensive, defamatory, threatening or disrupting social harmony. Content is designed for personal purpose, or private financial gain or compensation, unless authorized in the University with due approval of the Competent &amp;nbsp; Authority. Content is used to intimidate or single out an individual or group for degradation or harassment in violation of Government laws and the University &amp;nbsp; policy. Content is used to engage in or solicit any illegal activity in violation of Government laws or official University &amp;nbsp; policy. Content is outdated, inaccurate or poorly &amp;nbsp; presented. Content appears to be &amp;nbsp; abandoned. Content poses a performance problem, privacy issues or security &amp;nbsp; risks. Content does not adhere to the University's &amp;nbsp; guidelines. &amp;nbsp; Content Management System (CMS) Any &amp;nbsp; website &amp;nbsp; officially &amp;nbsp; representing &amp;nbsp; JNU &amp;nbsp; must &amp;nbsp; be &amp;nbsp; in &amp;nbsp; the &amp;nbsp; approved &amp;nbsp; CMS. &amp;nbsp; The &amp;nbsp; hosting &amp;nbsp; of &amp;nbsp; JNU &amp;nbsp; web pages on non-JNU servers must be approved by the Competent Authority of the &amp;nbsp; University. Any unit or individual seeking a complete exemption to the CMS must provide a content management plan to the Competent Authority of the University relations that addresses the following: Description of the purpose and &amp;nbsp; justification. Description of how internal website access is managed and how JNU administration could access the website, if &amp;nbsp; needed. Compliance with World Wide Web Consortium (W3C) and JNU website &amp;nbsp; guidelines. Description of how the website will not hinder a users’</t>
        </is>
      </c>
    </row>
    <row r="39">
      <c r="A39" s="14" t="inlineStr">
        <is>
          <t>ability to access web &amp;nbsp; content. &amp;nbsp; The technical aspects associated with proper website design should be implemented as part of &amp;nbsp; the &amp;nbsp; CMS &amp;nbsp; framework &amp;nbsp; and &amp;nbsp; industry &amp;nbsp; standards, &amp;nbsp; and &amp;nbsp; thus &amp;nbsp; should &amp;nbsp; not &amp;nbsp; be &amp;nbsp; at &amp;nbsp; the &amp;nbsp; discretion &amp;nbsp; of &amp;nbsp; the content manager. This should also &amp;nbsp; include: Sitemap implementation URL &amp;nbsp; structure Coding &amp;nbsp; style Browser compatibility Many code aspects of SEO (Search Engine &amp;nbsp; Optimizations) Visual identity and &amp;nbsp; style Most aspects of layout format and &amp;nbsp; elements &amp;nbsp; PROCEDURES Web Hosting JNU website(s) that are required to use the CMS are also required to use predefined template(s) and will be hosted by CIS. The CMS based website(s) should give all users a standard &amp;nbsp; access &amp;nbsp; to &amp;nbsp; the &amp;nbsp; information. &amp;nbsp; CIS &amp;nbsp; only &amp;nbsp; will &amp;nbsp; provide &amp;nbsp; technical &amp;nbsp; support &amp;nbsp; for &amp;nbsp; website(s) &amp;nbsp; using the approved JNU templates in the content management system (CMS). CIS may provide server, storage space to the official websites that do not use JNU templates based on the availability of the infrastructure; however, such website(s) must be independently managed by the respective &amp;nbsp; units. &amp;nbsp; Web Contents Management and Uploading The uploading and changing of the contents of website(s) will be done as per the centralised/decentralised operations management process of the University and in line to the CMS based Role base Access to all system admins and users of the website(s). The request for uploading and changing of web centres will be attempted as per the existing functional structure and workflow of the University. However, publishing/uploading &amp;nbsp; of &amp;nbsp; ‘Awards &amp;nbsp; and &amp;nbsp; Recognition’ &amp;nbsp; related &amp;nbsp; details &amp;nbsp; should &amp;nbsp; be &amp;nbsp; submitted by the individual through the &amp;nbsp; duly filled form available &amp;nbsp; on Intranet. All data</t>
        </is>
      </c>
    </row>
    <row r="40">
      <c r="A40" s="14" t="inlineStr">
        <is>
          <t>related to the projects, research and development will be uploaded and changed after due approvals of the Director, &amp;nbsp; R&amp;amp;D. The details published on the prominent places of main web pages of the website(s) will be archived generally after a week time. However specific and critical details may stay on the main webpages for more than a week and as per the requirement of the administration or instructions from the Government of India from time to time &amp;nbsp; basis. All users’ ids will be created by CIS as per the role base access and privileges to be assigned to the respective users of the departments and accordingly permissions required to run the website in a decentralised &amp;nbsp; manner. CIS &amp;nbsp; will &amp;nbsp; maintain &amp;nbsp; the &amp;nbsp; information &amp;nbsp; available &amp;nbsp; at &amp;nbsp; the &amp;nbsp; landing &amp;nbsp; webpage &amp;nbsp; and &amp;nbsp; main &amp;nbsp; webpage of the University website in accordance with recommendations and approvals of the Website Committee. All changes should be done as per the due &amp;nbsp; approvals. The &amp;nbsp; contents &amp;nbsp; related &amp;nbsp; to &amp;nbsp; the &amp;nbsp; staff, &amp;nbsp; students’ &amp;nbsp; achievements, &amp;nbsp; awards &amp;nbsp; and &amp;nbsp; data &amp;nbsp; related &amp;nbsp; to the students should be verified by the concerned School/ Centre/ &amp;nbsp; Department. This policy is applicable for external links including third party web links, disclaimers, retention of data/contents, News and Media, Social Media and Intranet Portal as per the requirements of the &amp;nbsp; University. This policy will be applicable to all new website requirements for faculty members/program/laboratories/department/students etc. The data related with Projects, Thesis and Dissertation should be linked or uploaded on JNU website with approvals of library and concerned data owner of that &amp;nbsp; process. The data related to students’ placement/internship should be published through the website of the concerned School/ Centre/ &amp;nbsp; Department. The new requirement for changes, addition/</t>
        </is>
      </c>
    </row>
    <row r="41">
      <c r="A41" s="14" t="inlineStr">
        <is>
          <t>deletion, if any for Alumni [Alumni Association of JNU (AAJ) and Alumni Affairs Office (AAO)], JNUSU, JNUTA, Clubs and other JNU associated entities, and related new websites etc. should only be considered after approvals of the Competent &amp;nbsp; Authority. &amp;nbsp; Externally Hosted Web Content Non-University web contents should not use or replicate the University's templates in a manner &amp;nbsp; that &amp;nbsp; confuses &amp;nbsp; content &amp;nbsp; ownership. &amp;nbsp; The &amp;nbsp; University &amp;nbsp; reserves &amp;nbsp; all &amp;nbsp; rights &amp;nbsp; in &amp;nbsp; its &amp;nbsp; trademarks, service marks, and copyrighted works, and unauthorized use is &amp;nbsp; prohibited. &amp;nbsp; Accessibility JNU &amp;nbsp; website(s) &amp;nbsp; must &amp;nbsp; comply &amp;nbsp; with &amp;nbsp; all &amp;nbsp; Government &amp;nbsp; of &amp;nbsp; India &amp;nbsp; Website &amp;nbsp; Guidelines &amp;nbsp; published &amp;nbsp; time to time in this &amp;nbsp; regard. &amp;nbsp; Web Applications/Databases Web applications and databases hosted on the JNU website(s) and representing an official communication of the University will adhere to standards referenced in this policy. &amp;nbsp; Advertising,&amp;nbsp;&amp;nbsp;&amp;nbsp; Political&amp;nbsp;&amp;nbsp;&amp;nbsp; and&amp;nbsp;&amp;nbsp;&amp;nbsp;&amp;nbsp; Commercial&amp;nbsp;&amp;nbsp;&amp;nbsp; Use,&amp;nbsp;&amp;nbsp;&amp;nbsp;&amp;nbsp; Endorsements&amp;nbsp;&amp;nbsp;&amp;nbsp;&amp;nbsp; and&amp;nbsp;&amp;nbsp;&amp;nbsp;&amp;nbsp; Sponsorship&amp;nbsp; Acknowledgements JNU policy does not to permit advertising and commercial activities on the JNU website. Use of the JNU website for political purposes and/or private gain is prohibited. &amp;nbsp; Confidentiality Maintenance and protection of proprietary information is the responsibility of the disclosing/receiving &amp;nbsp; unit. &amp;nbsp; This &amp;nbsp; includes &amp;nbsp; both &amp;nbsp; proprietary &amp;nbsp; information &amp;nbsp; originated &amp;nbsp; within &amp;nbsp; JNU &amp;nbsp; as well as the third party information provided to JNU under non-disclosure agreements. In addition, individuals are responsible for maintaining confidentiality of research where &amp;nbsp; the development of protectable technology is</t>
        </is>
      </c>
    </row>
    <row r="42">
      <c r="A42" s="14" t="inlineStr">
        <is>
          <t>anticipated, as per the obligations of JNU's Intellectual Property Right (IPR) policy. &amp;nbsp; ACCEPTABLE USE OF POLICY The University’s faculty members, non-teaching staff and students accessing JNU website/CMS accounts is a privilege, not a right. Individuals who violate policies and procedures contained in this document may have their website/CMS account privileges suspended or terminated immediately. &amp;nbsp; CONTACTS Specific queries may be directed to the following: &amp;nbsp; Subject &amp;nbsp; Contact &amp;nbsp; Telephone &amp;nbsp; E-Mail Address &amp;nbsp; Policy clarification, appeals and exemptions, guidelines, and IPR related &amp;nbsp; Director-CIS &amp;nbsp; 26704116 director_cis[at]mail[dot]jnu[dot]ac[dot]in Web support Webmaster 26704094/ 26738717 webmaster[at]jnu[dot]ac[dot]in &amp;nbsp; ← Back to Previous Page Page Last Updated Date: 19-03-2026, 05:41 PM Website Policy | Security Policy | Disclaimer | SiteMap | Contact Us | Feedback Copyright © 2026 - All Rights Reserved - Official Website of Jawaharlal Nehru University, New Delhi, India &amp;nbsp; Last reviewed and updated on 17-10-2026 Supports: Google Chrome 125+ | Firefox 126+ | Microsoft Edge Version 125+ | Safari 17+ Note: Contents on this website are published and managed by Jawaharlal Nehru University.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2" t="inlineStr">
        <is>
          <t>PRIVACY POLICY TEXT: akshayapatra.org</t>
        </is>
      </c>
    </row>
    <row r="2">
      <c r="A2" s="13" t="inlineStr">
        <is>
          <t>(read this to grade the 'akshayapatra.org' rows on the Labels sheet)</t>
        </is>
      </c>
    </row>
    <row r="4">
      <c r="A4" s="14">
        <f>==== PAGE: https://akshayapatra.org/donors-privacy-policy =====</f>
        <v/>
      </c>
    </row>
    <row r="5">
      <c r="A5" s="14" t="inlineStr">
        <is>
          <t>Donor’s Privacy Policy - The Akshaya Patra Foundation Tender Notice [email&amp;#160;protected] +91 80 4960 7200 / 080-23474351 (BSNL) India U.K U.S.A Canada Singapore Andhra Pradesh Assam Chhattisgarh Gujarat Karnataka Odisha Rajasthan Tamilnadu Telangana Uttar Pradesh Who We Are About Us Our Vision and Mission Inspiration - The story of Hope Governance Board of Trustees Advisory Board Missionary Leaders Leadership Team Partners Corporate Partners Government Partners Academia and Think-tanks Transparency Financials How your money spent Audit Financial Reports FCRA Reports What We Do Our Work Feeding for Education Anganwadi Feeding Mid-Day Meal Objectives of Mid-Day Meals Quality of MDM Quality Policy Programme Implementation Role of NGOs in India Our Role Mid-Day Meals and the Little Blue Bus Relief Feeding Covid Feeding Disaster food relief Research &amp; Advocacy Beyond Meals Our Reach Our Kitchens List of Kitchens Centralised Kitchens Decentralised Kitchens ISO Certified Kitchens Kitchen-Addresses Sustainability Impact Stories of Children Stories of Teachers Our Accolades Recognitions Awards Milestones News &amp; Stories Photo gallery Video Gallery News Publications Press Coverages Press Release Events Quarterly Newsletter How To Help Fundraise With Us Active fundraising campaigns Recently Concluded Campaigns Online donations Sponsor a School Sponsor a Kitchen Occasional Donate in Honor Donate in Memory Get Involved Goodwill Ambassadors Careers CSR Opportunities Volunteering Opportunities Young Leaders Collective Future Shaper Impact reports Blogs Donate Now Donate Now Log in Home &gt; Terms and Conditions Terms and Conditions The Akshaya Patra Foundation takes your privacy seriously and treats all financial information about any transaction you have with the Foundation as highly confidential. In addition, Akshaya Patra does not share e-mail addresses or phone numbers of any of our donors or constituents The Foundation deeply values all contributions to sustain our mission. To</t>
        </is>
      </c>
    </row>
    <row r="6">
      <c r="A6" s="14" t="inlineStr">
        <is>
          <t>protect the privacy of our donors and their special relationship with Akshaya Patra, we maintain the following policies: We may request personal information online, such as name, address, phone number, email address, and credit card number ONLY for the purposes of accepting donations to The Akshaya Patra Foundation.&amp;nbsp; We will not release or use this information for any other purpose unless we have your consent. We do not trade or sell your personal information with other organisations.&amp;nbsp; We offer donors the option to be recognised anonymously. Donors may request, at any time, to not receive our solicitations. Donors may request to not receive certain mailings, such as our newsletter. We do not track, collect or distribute personal information entered by those who visit our website. Personal data collected through our website is encrypted using 256-bit AES (Advanced Encryption Standard) technology. Personal information stored in The Akshaya Patra database is protected with a secured login with authentication, assignment of a unique ID to each person with computer access, regular pass code changes, and user IDs are deactivated or terminated as needed. Our hosting data server provides data protection meeting PCI DSS (Payment Card Industry Data Security Standard), encrypted communication via SSL (Secure Sockets Layer) technology, intrusion detection for all devices and network nodes, state-of-the-art firewall infrastructure that detects malicious application attacks, virus protection, network load balancing devices via Citrix, and patch management, security and vulnerability monitoring and tracking, and SQL server attack protection via applications to detect SQL Injection and Cross Site Scripting Attacks. &amp;nbsp;&amp;nbsp; To assure that philanthropy merits the respect and trust of the general public, and that donors and prospective donors can have full confidence in the not-for-profit organisations and causes they are asked to support, we assure the following : To</t>
        </is>
      </c>
    </row>
    <row r="7">
      <c r="A7" s="14" t="inlineStr">
        <is>
          <t>be informed of the foundation&amp;#39;s mission, of the way the foundation intends to use donated resources, and of its capacity to use donations effectively for their intended purposes Donations towards relief feeding operations of the organisation and other feeding programmes&amp;nbsp;will be used to meet the cost of relief feeding operations and other feeding programmes cost respectively. In case of any excess funds at the end of the year / programme, the funds are directed towards feeding the children. To be informed of the identity of those serving on the foundation&amp;#39;s governing board, and to expect the board to exercise prudent judgment in its responsibilities To have access to the foundation&amp;#39;s most recent financial statements To receive appropriate acknowledgment and recognition To be assured that information about their donations is handled with respect and with confidentiality to the extent provided by law To expect that all relationships with individuals representing the foundation to the donor will be professional&amp;nbsp; To be informed whether those seeking donations are volunteers, employees of the organization or hired solicitors To have the opportunity for their names to be deleted from mailing lists that the foundation may intend to share To feel free to ask questions when making a donation and to receive prompt, truthful and forthright answers Donation refund policy Akshaya Patra follows a reliable refund policy to let our donors feel privileged about their association with us. We take utmost care about processing donations as per the mandates signed by our donors in the donor forms, both offline and online. But in case of an unlikely event of an erroneous deduction or If the Donor wants to cancel/deduct the donation, The Akshaya Patra Foundation will respond within 7 working days from the date of receiving the complaint from donor. The timely refund of the wrongly deduced amount will depend on type of card used during transaction. We would require a</t>
        </is>
      </c>
    </row>
    <row r="8">
      <c r="A8" s="14" t="inlineStr">
        <is>
          <t>proof of deduction of the donation amount and a written communication for refund from the donor within two days after donation. In such cases if the receipt already has been issued, then the Donor need to return the original receipt at our official address. In the case of tax exemption certificate already issued, refund will not be possible. We can be contacted for refund request through the following: *International donations will require more working days for refund What information we collect We use personal information collected from donors for the purposes of processing payments and communicating with donors about Akshaya Patra as well as conducting the fundraising and other operations of Akshaya Patra. This information may include name, amount donated, address, telephone number, donor comments, e-mail address, and any other personal information provided to us (&amp;ldquo;Donor Data&amp;rdquo;). For donations by check, Donor Data also includes the data visible on the check. Information from Payment Processors and Other Service Providers: Payment processors allow donors to give electronically using a payment services account, a credit card, or other payment method. These processors collect certain information from donors, and you should consult their privacy policies to determine their practices. To provide donors the best possible experience, we work with service providers and may share Donor Data and other information with, or have it transmitted through, them. Such service providers include, for example, collocation facilities and bandwidth providers as well as organisations that help non-profit organizations with fundraising. How we use that information Donor Data may be used for these kinds of purposes: Distributing receipts and thanking donors for donations Informing donors about upcoming fundraising and other activities of Akshaya Patra Internal analysis, such as research and analytics Record keeping Reporting to applicable government agencies as required by law</t>
        </is>
      </c>
    </row>
    <row r="9">
      <c r="A9" s="14" t="inlineStr">
        <is>
          <t>Surveys, metrics, and other analytical purposes Other purposes related to the fundraising operations Anonymous donor information may be used for promotional and fundraising activities. Comments that are provided by donors may be publicly published and may be used in promotional materials. We may use available information to supplement the Donor Data to improve the information we use to drive our fundraising efforts. We may allow donors the option to have their name publicly associated with their donation unless otherwise requested as part of the online donation process. We use data gathered for payment processors and other service providers only for the purposes described in this policy. Contact us If you have questions about this Donor Privacy Policy or requests about the status and correctness of your donor data, please contact The Akshaya Patra Foundation #72, 3rd Floor, 3rd Main Road, 1st &amp;amp; 2nd Stage Yeshwantpur Industrial Suburb, Rajajinagar Ward No. 10 Bangalore &amp;ndash; 560022 , India&amp;nbsp; &amp;nbsp;Ph: +91 80-30143400&amp;nbsp; E-mail: [email&amp;#160;protected] Security We are committed to protecting donor personal information from unauthorised access, alteration, disclosure, or destruction. Among other things, we undertake a range of security practices, including measures to help secure web access to sensitive data and undertake efforts to address security vulnerabilities for various tools and databases. Other Disclosures We may disclose information when required by law; when needed to protect our rights, privacy, safety, property, donors, or users; and when necessary to enforce our terms of service. Updates We may change the Donor Privacy Policy from time to time. Any and all changes will be reflected on this page. Substantive changes may also be announced through the standard mechanisms by which we communicate with our users and community. You should periodically check this page for any changes to the current policy. Data Retention We seek to retain donor-</t>
        </is>
      </c>
    </row>
    <row r="10">
      <c r="A10" s="14" t="inlineStr">
        <is>
          <t>related information only as needed to fulfil the purposes described in this policy unless a longer retention period is required by law or regulations. For example, tax laws in the India may require the Foundation to keep contact information and contribution level of donors on file. Rights You have certain rights with respect to the information we collect about you. Upon request, we will tell you what information we hold about you and correct any incorrect information. We will also make reasonable efforts to delete your information if you ask us to do so, unless we are otherwise required to keep it. Communications &amp;nbsp;The User expressly agrees to receive communications regarding information, schemes, notifications, offers, events and rewards on their registered mobile number by way of Whatsapp, SMS, calls and/or e-mails from The Akshaya Patra Foundation and other third parties relating to the Services provided through the Platform. The User can unsubscribe/opt-out from receiving communications through SMS and e-mail anytime by e-mailing to [email&amp;#160;protected] . However, this may limit the extent of the Platform access and services that the User can avail The Best Way to Make a Difference in the Lives of Others DONATE NOW The Akshaya Patra Foundation is a non profit organisation that strives to eliminate classroom hunger by implementing the Mid Day Meal Programme About Us About Us Our Vision and Mission Inspiration – The story of Hope Board of Trustees Tax exemption donation faqs Term’s and Conditions Our Work Our Work Feeding For Education Mid-Day Meal Relief feeding Research &amp; Advocacy Beyond Meals Donate Online donations Sponsor a School Sponsor a kitchen Get IN Touch Contact Us Get Involved Future shaper --&gt; REGIONAL WEBSITES Andhra Pradesh Assam Gujarat Karnataka Odisha Rajasthan Tamil Nadu Telangana U.P. Charity Id : AAATT6468P The Akshaya Patra Foundation © 2026 Website Developed &amp; Maintenance By Creative Yogi --&gt; The Akshaya Patra Foundation © 2026</t>
        </is>
      </c>
    </row>
    <row r="11">
      <c r="A11" s="14" t="inlineStr">
        <is>
          <t>&amp;times; Login Login OR Forgot Password Don't have an account yet? Register Here &amp;times; Register Sign up Already have an account? Log In &amp;times; Forgot Password Reset Password OR Login Don't have an account yet? Register Here</t>
        </is>
      </c>
    </row>
    <row r="12">
      <c r="A12" s="14">
        <f>==== PAGE: https://akshayapatra.org/privacy-policy =====</f>
        <v/>
      </c>
    </row>
    <row r="13">
      <c r="A13" s="14" t="inlineStr">
        <is>
          <t>Privacy policy of The Akshaya Patra Foundation Tender Notice [email&amp;#160;protected] +91 80 4960 7200 / 080-23474351 (BSNL) India U.K U.S.A Canada Singapore Andhra Pradesh Assam Chhattisgarh Gujarat Karnataka Odisha Rajasthan Tamilnadu Telangana Uttar Pradesh Who We Are About Us Our Vision and Mission Inspiration - The story of Hope Governance Board of Trustees Advisory Board Missionary Leaders Leadership Team Partners Corporate Partners Government Partners Academia and Think-tanks Transparency Financials How your money spent Audit Financial Reports FCRA Reports What We Do Our Work Feeding for Education Anganwadi Feeding Mid-Day Meal Objectives of Mid-Day Meals Quality of MDM Quality Policy Programme Implementation Role of NGOs in India Our Role Mid-Day Meals and the Little Blue Bus Relief Feeding Covid Feeding Disaster food relief Research &amp; Advocacy Beyond Meals Our Reach Our Kitchens List of Kitchens Centralised Kitchens Decentralised Kitchens ISO Certified Kitchens Kitchen-Addresses Sustainability Impact Stories of Children Stories of Teachers Our Accolades Recognitions Awards Milestones News &amp; Stories Photo gallery Video Gallery News Publications Press Coverages Press Release Events Quarterly Newsletter How To Help Fundraise With Us Active fundraising campaigns Recently Concluded Campaigns Online donations Sponsor a School Sponsor a Kitchen Occasional Donate in Honor Donate in Memory Get Involved Goodwill Ambassadors Careers CSR Opportunities Volunteering Opportunities Young Leaders Collective Future Shaper Impact reports Blogs Donate Now Donate Now Log in Home &gt; Privacy policy Privacy policy This Website is owned and operated by Akshaya Patra Foundation called Akshaya Patra. We recognize that visitors to our site may be concerned about the information they provide to us and how we treat that information. Akshaya Patra is committed to ensuring that your privacy is protected.This Privacy Policy addresses those concerns. This policy may be changed or updated from</t>
        </is>
      </c>
    </row>
    <row r="14">
      <c r="A14" s="14" t="inlineStr">
        <is>
          <t>time to time. You should check this page from time to time to ensure that you are happy with any changes. This policy is effective from 01/04/2011. If you have any questions about our Privacy Policy, you may contact us at:&amp;nbsp; The Akshaya Patra Foundation #72, 3rd Floor, 3rd Main Road, 1st &amp;amp; 2nd Stage&amp;nbsp; Yeshwantpur Industrial Suburb,Rajaji Nagar&amp;nbsp; Ward No. 10, Bangalore Pin- 560 022,&amp;nbsp; Karnataka&amp;nbsp; India&amp;nbsp; Ph: 91-80-30143400 E-mail: [email&amp;#160;protected] Personal Information Akshaya Patra uses its best efforts to respect the privacy of its online visitors. At our site, we do not collect personally identifiable information from individuals unless they provide it to us voluntarily and knowingly. This means we do not require you to register or provide information to us in order to view our website. Akshaya Patra only gathers personally identifiable data, such as names, addresses, zip/postal codes, e-mail addresses, etc., when voluntarily submitted by a visitor. For example, we ask for personal information on our online donation pages, and use this information to acknowledge receipt of your donation for tax purposes. Akshaya Patra does not sell or trade such information collected to third parties. We will not share personally identifiable information with third parties unless authorized by the person submitting the information or required by law. Credit Card Information Security Akshaya Patra uses industry-standard Secure Sockets Layer (SSL) encryption to protect the security of your transaction and the confidentiality of your personal information. This makes it extremely difficult for anyone else to intercept the credit card information you send to us. Credit card information is not sold or traded to third parties. We will not share credit card information with third parties unless required by law. If you still have concerns about the security of your credit card information, contributions may also be made by calling 1800-425-8622, or by</t>
        </is>
      </c>
    </row>
    <row r="15">
      <c r="A15" s="14" t="inlineStr">
        <is>
          <t>sending personal checks or money orders to: The Akshaya Patra Foundation #72, 3rd Floor, 3rd Main Road, 1st &amp;amp; 2nd Stage&amp;nbsp; Yeshwantpur Industrial Suburb,Rajaji Nagar&amp;nbsp; Ward No. 10, Bangalore Pin- 560 022,&amp;nbsp; Karnataka&amp;nbsp; India&amp;nbsp; Ph: 91-80-30143400 Security We are committed to ensuring that your information is secure. In order to prevent unauthorised access or disclosure, we have put in place suitable physical, electronic and managerial procedures to safeguard and secure the information we collect online. Donations We request information from the visitor on our donation form. A visitor must provide contact information (such as name, e-mail and mailing address) and payment information (such as credit card number and expiration date). This information is used for billing purposes and for sending receipt of the donation. If we have trouble processing a donation, the information is used by us to contact the visitor. If the visitor has given permission for the information&amp;#39;s release, the visitor&amp;#39;s name and contact information may be shared with carefully selected organizations and charities we feel our donors would want to know about. Where requested, we will provide information on larger donations to appropriate charities and donors for tax purposes. Financial and credit card information are NEVER released. Opt-Out If you supply us with your postal address or e-mail address on-line you may receive periodic mailings from us with information on our programs and services. If you do not want to receive postal mail or e-mail from us in the future, please let us know by sending email to us at: ( [email&amp;#160;protected] ) or writing to us at the above address and telling us that you do not want to receive postal mail or e-mail from us. Some mailings are prepared well in advance, so please allow up to three months for your request to be properly reflected on our mailing lists. Cookies Visitors should be aware that non-personal information and data may</t>
        </is>
      </c>
    </row>
    <row r="16">
      <c r="A16" s="14" t="inlineStr">
        <is>
          <t>be automatically collected by Akshaya Patra&amp;#39;s Website through the use of cookies. Cookies are small text files a Website can use to recognize repeat visitors, facilitate the visitor&amp;#39;s ongoing access to and use of the site, and allow a site to track usage behavior and compile aggregate data that will allow content improvements. Cookies are not programs that come onto a visitor&amp;#39;s system and damage files. Generally, cookies work by assigning a unique number to the visitor that has no meaning outside the assigning site. If a visitor does not want information collected through the use of cookies, there is a simple procedure in most browsers that allows the visitor to deny or accept the cookie feature. Akshaya Patra uses cookie technology only to obtain non-personal information from its online visitors in order to improve visitors&amp;#39; online experience and facilitate their visit within our site. External Links This website may contain links to other sites. Unless we expressly state otherwise, Akshaya Patra makes no representations whatsoever concerning the content of those sites. The fact that Akshaya Patra has provided a link to a site is not an endorsement, authorization, sponsorship, or affiliation with respect to such site, its owners, or its providers. There are risks associated with using any information, software, or products found on the Internet, and Akshaya Patra cautions you to make sure that you understand these risks before retrieving, using, relying upon, or purchasing anything via the Internet. In addition, we encourage our users to be aware when they leave our site to read the privacy statements of each and every website that collects personally identifiable information. These other sites may collect or solicit personal data or send their own cookies to your computer. Please be aware that Akshaya Patra is not responsible for the privacy practices of other websites. Please check the privacy statements of these other sites for more information</t>
        </is>
      </c>
    </row>
    <row r="17">
      <c r="A17" s="14" t="inlineStr">
        <is>
          <t>about their policies on collection and use of personal information. Notification of Changes If we decide to change our privacy policy, we will post those changes to this privacy statement so our visitors are always aware of what information we collect, how we use it, and under what circumstances, if any, we disclose it. We will use information in accordance with the privacy policy under which the information was collected. If, however, we are going to use visitors&amp;#39; personally identifiable information in a manner significantly different from that stated at the time of collection we will notify visitors via e-mail and won&amp;#39;t disclose this information unless express information is granted. However, if visitors have opted out of all communication with the site, or deleted/deactivated their account, then they will not be contacted, nor will their personal information be used in this new manner. Sharing Legal Disclaimer Though we make a good faith effort to preserve visitor privacy, we may need to disclose personal information when required by law wherein we have a good-faith belief that such action is necessary to comply with a current judicial proceeding, a court order or legal process served on our website. Links This website may contains links to other websites of interest. Please be aware that once you have used these links to leave our website you should note that we, do not, have any control over and are not responsible for the content or privacy practices of such other websites. We encourage our visitors to be aware when they leave our site they are required to read the privacy statements of each and every website they visit . This privacy statement applies solely to information collected by this website. Interactive Features From time to time our site requests information from visitors via interactive features, such as surveys or quizzes. Participation in these features is completely voluntary and the visitor therefore has a choice whether or not to</t>
        </is>
      </c>
    </row>
    <row r="18">
      <c r="A18" s="14" t="inlineStr">
        <is>
          <t>disclose this information. The requested information typically includes contact information (such as name and e-mail), and information on the visitor&amp;#39;s interests. Survey information will be used for purposes of monitoring or improving the use and satisfaction of this site and providing pertinent information to participants. Visitors&amp;#39; personally identifiable information is not shared with third parties. Referrals If a visitor elects to use our referral service for informing a friend about our site, we ask them for the friend&amp;#39;s name and e-mail address. Akshaya Patra will automatically send the friend a one-time e-mail with an introduction to Akshaya Patra and an invitation to visit the site. The one-time e-mail will include the name of the person making the referral. Akshaya Patra stores this information for the sole purpose of sending this one-time e-mail and tracking the success of our referral program. The friend may contact Akshaya Patra at unsubscribe ( [email&amp;#160;protected] ) to request the removal of this information from our database. In view of the recently updated General Data Protection Regulation (GDPR), we have updated our privacy policies for all European citizens. Click here to view the privacy policies. The Best Way to Make a Difference in the Lives of Others DONATE NOW The Akshaya Patra Foundation is a non profit organisation that strives to eliminate classroom hunger by implementing the Mid Day Meal Programme About Us About Us Our Vision and Mission Inspiration – The story of Hope Board of Trustees Tax exemption donation faqs Term’s and Conditions Our Work Our Work Feeding For Education Mid-Day Meal Relief feeding Research &amp; Advocacy Beyond Meals Donate Online donations Sponsor a School Sponsor a kitchen Get IN Touch Contact Us Get Involved Future shaper --&gt; REGIONAL WEBSITES Andhra Pradesh Assam Gujarat Karnataka Odisha Rajasthan Tamil Nadu Telangana U.P. Charity Id : AAATT6468P The Akshaya Patra Foundation © 2026 Website Developed &amp;</t>
        </is>
      </c>
    </row>
    <row r="19">
      <c r="A19" s="14" t="inlineStr">
        <is>
          <t>Maintenance By Creative Yogi --&gt; The Akshaya Patra Foundation © 2026 &amp;times; Login Login OR Forgot Password Don't have an account yet? Register Here &amp;times; Register Sign up Already have an account? Log In &amp;times; Forgot Password Reset Password OR Login Don't have an account yet? Register Here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94"/>
  <sheetViews>
    <sheetView workbookViewId="0">
      <selection activeCell="A1" sqref="A1"/>
    </sheetView>
  </sheetViews>
  <sheetFormatPr baseColWidth="8" defaultRowHeight="15"/>
  <cols>
    <col width="120" customWidth="1" min="1" max="1"/>
  </cols>
  <sheetData>
    <row r="1">
      <c r="A1" s="12" t="inlineStr">
        <is>
          <t>PRIVACY POLICY TEXT: savethechildren.in</t>
        </is>
      </c>
    </row>
    <row r="2">
      <c r="A2" s="13" t="inlineStr">
        <is>
          <t>(read this to grade the 'savethechildren.in' rows on the Labels sheet)</t>
        </is>
      </c>
    </row>
    <row r="4">
      <c r="A4" s="14">
        <f>==== PAGE: https://savethechildren.in/ =====</f>
        <v/>
      </c>
    </row>
    <row r="5">
      <c r="A5" s="14" t="inlineStr">
        <is>
          <t>--&gt; Most Trusted NGO for Child Welfare in India | Bal Raksha Bharat --&gt; --&gt; We value your privacy We use cookies to enhance your browsing experience, serve personalized ads or content, and analyze our traffic. By clicking "Accept All", you consent to our use of cookies. Customize Reject All Accept All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...&amp;nbsp; Show more Necessary Always Active Necessary cookies are required to enable the basic features of this site, such as providing secure log-in or adjusting your consent preferences. These cookies do not store any personally identifiable data. Functional Functional cookies help perform certain functionalities like sharing the content of the website on social media platforms, collecting feedback, and other third-party features. Analytics Analytical cookies are used to understand how visitors interact with the website. These cookies help provide information on metrics such as the number of visitors, bounce rate, traffic source, etc. Performance Performance cookies are used to understand and analyze the key performance indexes of the website which helps in delivering a better user experience for the visitors. Advertisement Advertisement cookies are used to provide visitors with customized advertisements based on the pages you visited previously and to analyze the effectiveness of the ad campaigns. Reject All Save My Preferences Accept All Bal Raksha Bharat is registered under sections 12A &amp; 80G of the Income Tax Act, 1961 and CSR-1 registered under the Ministry of Corporate Affairs for undertaking CSR activities. click here to visit all certificates 011-40538140 info@balrakshabharat.org Donate Now --&gt; --&gt; About Us Overview</t>
        </is>
      </c>
    </row>
    <row r="6">
      <c r="A6" s="14" t="inlineStr">
        <is>
          <t>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Now --&gt; --&gt; Feedback &amp;times; We Value Your Feedback Email Address * website? 2. Comments/Feedback 1. How would you rate your overall experience with our website? Rate 1 out of 5 Rate 2 out of 5 Rate 3 out of 5 Rate 4 out of 5 Rate 5 out of 5 2. How do you feel about the user interface (UI) design? Rate 1 out of 5 Rate 2 out of 5 Rate 3 out of 5 Rate 4 out of 5 Rate 5 out of 5 3. How satisfied are you with the content on our website? Rate 1 out of 5 Rate 2 out of 5 Rate 3 out of 5 Rate 4 out of 5 Rate 5 out of 5 Comments/Feedback and Improvements * I consent to my feedback being used for improvement purposes. Submit --&gt; Let Your Celebration Light Up a Child's World This Season and Beyond Donate Now Your Support Is Reaching Assam And Our Response Continues Donate Now Ravindr's Courageous Journey: The Boy Who Turned His Family's Struggle Into a Movement Read More Lifesaving Supplies by Air: Drone Technology Aids Remote Villages in Himachal Read Now Empowering Communities: Celebrating Three Years of Impactful Change (2020-2023) Lorem ipsum dolor sit amet consectetur adipisicing elit. Cum earum ipsum ea quos aliquid provident. -&gt; Read Now IN CLOSE COORDINATION: WORKING AND ENGAGING WITH THE GOVERNMENT TO DRIVE CHANGE Lorem ipsum dolor sit amet consectetur adipisicing elit. Cum earum ipsum ea quos aliquid provident. -&gt; Learn More -&gt; Previous -&gt; Next --&gt; ANNUAL REPORT 2026 Where Change Begins read now BAL RAKSHA, BHAVISHYA RAKSHA At Bal Raksha Bharat</t>
        </is>
      </c>
    </row>
    <row r="7">
      <c r="A7" s="14" t="inlineStr">
        <is>
          <t>(also known as Save the Children), nurturing children is nurturing the promise of India. Since 2004, we have made it our mission to transform childhood landscapes nationwide through compassion, care and relentless efforts. We are steadfast in our resolve to help the children of India build a Secure Childhood and thus a Secure Future. Our approach at Bal Raksha Bharat is HOLISTIC as we address numerous aspects of childhood: access to health and nutrition, quality education, protection from harm, supporting with psychosocial needs and driving a well-rounded development of children. Protection from exploitation and access to equal opportunities help children thrive as architects of the nation's future. We, at Bal Raksha Bharat, pledge to make every impact holistic for India's children - but we cannot walk alone, because shaping young lives cannot happen in isolation. It calls for unified effort from communities, government and supporters. Collaborating with on-ground workers, policymakers and donors, we build an ecosystem where children can flourish. In 15 years, we have touched lives of over 1 crore young children through our outreach programmes. Between April 2022 and March 2023, we provided 13.8 lakh children across 15 states with resources, support and opportunities to build a childhood they can cherish. Right from the inception of our work, we have been working right in the middle of communities, understanding ground realities, and engineering every initiative based on their unique needs. Be it facilitating access to healthcare, bridging gaps in education or providing crucial humanitarian aid during emergencies - we cater to every aspect of child welfare. Beyond short-term relief, we also empower families and communities to be more resilient in the face of adversities. In 2022-23, our education programs assisted over 3.3 lakh children. Healthcare support was provided to 3.4 lakh children. Our humanitarian drives reached over 6.2 lakh children in disaster-hit zones</t>
        </is>
      </c>
    </row>
    <row r="8">
      <c r="A8" s="14" t="inlineStr">
        <is>
          <t>with urgent aid and long-term rehabilitation. We aided communities during COVID-19, cyclones, provided relief to migrant workers and facilitated vaccination access. Each milestone fuels our conviction that we can transform childhood with compassion, care and unity. Over the years, through our groundwork, we have cultivated strong ties with communities, government bodies, our donors and support to build an enabling ecosystem through which children can benefit. Whether it is listening to community needs, co-designing localised initiatives, contributing towards shaping of national policy through insights and research, and forging partnerships: all of this in pursuit of ushering in holistic child development. We pledge to continue to reach more and more children in need and ensure that no child is left behind. We are committed to help bridge the gap between the childhood some children endure and the one they deserve. While we have come far, the journey is still on. And we can only walk this path together with our supporters. Your contribution can help us cover crucial distances- empower children with education, health, safety and help them tap the opportunities they deserve. Choose how you would like to make a difference in a child's life. In big and small ways, let us come together as guardians to help shape India's tomorrow. Donate now to Bal Raksha Bharat India to create lasting change - child by child. Read more... Read more... --&gt; our fields of work Education Health Resilience Livelihood Protection Humanitarian SHIKSHA ki RAKSHA, BHAVISHYA ki RAKSHA! From early childhood to adolescence, quality education unlocks human potential. Bal Raksha Bharat (Save the Children, India) champions the cause of India's underserved since 2004, aligning inclusive learning with national ethos. Safe classrooms, girls' participation, digital access - their interventions remove barriers spanning from urban slums to rural communities. Uplifting over 80,000 students, we have seeded future</t>
        </is>
      </c>
    </row>
    <row r="9">
      <c r="A9" s="14" t="inlineStr">
        <is>
          <t>innovation and powered sustainable solutions. Click here to learn more about its transformative impact on our children. know more AROGYA ki RAKSHA, BHAVISHYA ki RAKSHA! Bal Raksha Bharat aims to guarantee healthcare and nutrition for children across India. Through awareness drives, health system strengthening, and tackling health issues, we aim to empower underserved communities that were once underserved through key partnerships with the Health Ministry and NITI Aayog to further access and support major schemes. Our on-ground collaboration and backing of initiatives like Poshan Abhiyan strive to sustainably better children's health. Read more about our impactful work here. know more TANAAV SE RAKSHA, BHAVISHYA ki RAKSHA! With climate change and disasters disproportionately impacting children, Bal Raksha Bharat (Save the Children India) strives to build their resilience through community-centred adaptation - from strengthening local governance and schools to providing green livelihoods and building technologies like early warning systems for communities. Initiatives like the SMARTPUR project enable digital inclusion of rural areas for healthcare, education and more. Read on to learn about our interventions upholding children's rights in the face of ecological instability. Read more here. know more POSHAN ki RAKSHA, BHAVISHYA RAKSHA! Despite progress, swathes of India's youth still confront poverty economic challenges, lacking pathways of empowerment. Since 2004, Bal Raksha Bharat has championed pertinent ways to upskilling women and girls and boosting the incomes of vulnerable families from rural communities. Bridging skill gaps that accelerate advancement, our programmes offer digital literacy, vocational training, and access to government schemes. Having supported Supporting over 200,000 towards self-reliance already, we aim to unleash human potential countrywide. Discover more about how we are enabling dreams. know more SHOSHAN SE RAKSHA, BHAVISHYA ki RAKSHA! As</t>
        </is>
      </c>
    </row>
    <row r="10">
      <c r="A10" s="14" t="inlineStr">
        <is>
          <t>front-runners to safeguarding India's children from exploitation, Bal Raksha Bharat tirelessly fights trafficking, child labour , early marriage and more. From cementing legislation to system reforms, our interventions span awareness drives, psychosocial support, online safety training and beyond. Our initiatives have eased over 10,000 at-risk youth, while partnership with bodies like NCPCR evolves national child protection. Read more here to discover how we are building an abuse-free future. know more SAMAANTA KI RAKSHA, BHAVISHYA ki RAKSHA! Since 2004, Bal Raksha Bharat has tirelessly worked to aid over 600,000 across 40+ emergencies as early responders- being the first to reach and last to leave. From cyclones to floods, our response includes providing supplies, rebuilding efforts and creating child-friendly spaces - ensuring education, protection and care with children at the centre of all our response work. However, more support is needed to scale this impact. Read more about the unwavering mission to guarantee crisis relief for India's children. know more --&gt; --&gt; BAL RAKSHA BHARAT'S PROGRAMMES ACROSS INDIA Bal Raksha Bharat is implementing numerous programmes across various states in India, all aimed at improving the lives of underprivileged children. These initiatives focus on education, health and nutrition, and child protection, while also equipping children to be resilient in the face of emergencies and crises. Explore our state-wise programmes by clicking on the map's state --&gt; India Please click to know about our programmes in this state --&gt; success stories Bal Raksha Bharat's interventions have empowered countless marginalised children to transform their own lives. From the slums of Delhi to remote rural reaches, we have witnessed stories of triumph in the face of child marriage, poverty, health struggles and more. The organisation's investment in instilling skills, mindsets, and values is fuelling journeys to education , financial independence and</t>
        </is>
      </c>
    </row>
    <row r="11">
      <c r="A11" s="14" t="inlineStr">
        <is>
          <t>advocacy roles within communities. Be it defeating poverty or combating chronic diseases, success stories speak of incredible resilience and change catalysed in the most vulnerable communities. These tales of determination showcase how with the right support, the most vulnerable can build futures of security, self-reliance, and dignity. Bal Raksha Bharat continues to kindle their indomitable spirit, seeding systemic transformation - one child at a time. --&gt; Kavita’s Golden Journey: The Power Of Good Nutrition In the classrooms of Government Middle School, Janakpur, in Madhya Pradesh, 8th-grade student Kavita Yadav was known for her curiosity and determination. Yet, like many children her age, her everyday... Read more --&gt; Ensuring Hygiene &amp;#038; Dignity Amid Flood Twelve-year-old Ruma Kurmi is dealing with losses far beyond her years. Two months ago, she lost her mother after a prolonged illness. Just as the family was beginning to cope with the loss of a... Read more --&gt; Ravinder&amp;#8217;s Courageous Journey: A Voice Against Substance Abuse “Change begins the moment you decide to fight your own battles — not with others, but within yourself.” – Ravinder In the quiet lanes of Rampur village, Shravasti district, Uttar Pradesh,... Read more --&gt; Hope Finds Its Way…even Amidst The Hardest Of Times In the midst of severe flooding in #Assam, a quiet but powerful act of resilience took place on the 80th Independence Day, at Bamunpukhuri, Nazira, Sivasagar—we inaugurated the Child Friendly Space... Read more Read More Stories recent awards and recognitions From allyship to health outreach, awards won by Bal Raksha Bharat continue to recognise our unrelenting efforts to transform young lives. The ever-expanding list of recognition for our work reflects our deepening national footprint and impact - reaching and uplifting marginalized children across cities to rural hinterlands. Strengthened by public support, our quest to ensure India's future generations can thrive, continues.</t>
        </is>
      </c>
    </row>
    <row r="12">
      <c r="A12" s="14" t="inlineStr">
        <is>
          <t>--&gt; CSR Times Awards 2024: Wins Silver for Best NGO in Rural Development and Infrastructure ET Shark Awards 2024: Wins Bronze in The Plants Projects Certificate of Appreciation for providing valuable support to People with TB. 5th ICC Social Impact Awards 2023 - Runners up in Large Project category Radio City Delhi Icon Award 2023: Youth Skilling and Vocational Training for Livelihoods 10th National CSR TIMES AWARDS- 2023 CSR Health Impact Awards 2023: Project Pratiraksha - COVID Vaccination - CISCO Best 'Not-for-Profit of the Year' under Social &amp;amp; Business Enterprise Responsible Awards 2021. #AllyUpForHer Campaign Wins Gold in the 'Best Not for Profit' Campaign AFAQS FOXGLOVE'21: BRONZE Award Ongoing campaigns which need your support Education --&gt; Every child deserves to learn. Help them thrive. Education empowers every future. Donate to Bal Raksha Bharat India and support quality learning for children everywhere. Together, let's ensure no child is left behind. Donate Now Generic --&gt; Join us in making a difference. Since 2004, we have partnered with the Government of India to empower over 10 million children. Your support allows us to reach even more children and ensure they can access a safe and nurturing environment. Donate Now Education --&gt; Let's use technology to ignite young minds. Join us in creating vibrant learning hubs for children nationwide. Donate to the "Making Schools Smart" project and equip 50 schools with STEM labs and smart classrooms, fostering scientific thinking and empowering future generations. Donate Now blogs The Bal Raksha Bharat blog brings to life how we are undeterred to India's commitment to child welfare, child protection , and empowerment. It provides a glimpse into the stories of children who have seen their lives transform and communities uplifted. These narratives will help readers learn how you can contribute to creating bright futures. --&gt; How Can Personalised Learning Help Children Learn Better? Not every child learns</t>
        </is>
      </c>
    </row>
    <row r="13">
      <c r="A13" s="14" t="inlineStr">
        <is>
          <t>concepts at a similar speed. When it comes to education, each learner has their own pace. That is why personalised learning is important today. It adapts teaching to each... Read more --&gt; Income Tax Donation For Child Education: A Simple Guide For First-Time Donors Providing children with the right educational opportunities is among the most valuable contributions you can make. An income tax donation for child education is an education-focused donation drive... Read more --&gt; Right To Education Beyond School Admission: What Quality And Continuity Mean For Children When a child is enrolled in a school, it is a welcome and necessary first step. But the quality of education they receive and ensuring continuity in their education are equally important facets. They... Read more --&gt; How Can Digital Learning Support Foundational Literacy For Children? The early years of education are the most important for a child. It is in these years that a child develops important skills such as comprehension, reading, writing, and numeracy. This stage of a... Read more Take Action Become a Supporter Give one time or monthly What Donor Says Donors across the country share our commitment to providing every child with a safe and nurturing environment. Here, you can read inspiring words, written by people like you, about how they value investing in underprivileged children and showing them a better and brighter future. Through their words, you will discover that every rupee and every person matters in our common journey towards a better tomorrow. I truly appreciate Bal Raksha Bharat for the incredible work they do in standing up for those in need. It’s heartening to see how small acts of kindness can bring real change. When each of us contributes in our own way, we help build a more caring and united world. Thank you to the entire team for your dedication to this beautiful cause. Jai Hind, Jai Bharat! Bhavesh N. Parmar Gujarat It’s a simple contribution from my end, but it brings me immense</t>
        </is>
      </c>
    </row>
    <row r="14">
      <c r="A14" s="14" t="inlineStr">
        <is>
          <t>happiness and fulfillment. I truly admire the heartfelt efforts of your organization in uplifting children in need. Your selfless service is inspiring, and I hope more people come forward to support this cause. Wishing Bal Raksha Bharat continued strength and success in the wonderful work you do. Pola venkatappaiah Telangana CORPORATE PARTNERSHIP --&gt; --&gt; OUR COMMITMENT TO BE THE RAKSHAKS OF CHILDREN'S FUTURE We invite you behind the scenes to witness the transformations made possible by donors like you. Through poignant video testimonials, you'll see the tangible impact your compassion has already made in the lives of underprivileged children in India. Watch their eyes light up as they gain access to education, medical care, and safety - opportunities to learn, grow, and dream. Hear them speak about their hopes for the future, fuelled by the chance you've given them. These are more than inspiring stories; they are glimpses into young lives infused with promise. By contributing, you join a community devoted to nurturing India's next generation. Browse through and discover how even the smallest act of kindness can plant seeds of change. --&gt; Bal Raksha Bharat's Ongoing Mission to Empower 4 Million Children! At Bal Raksha Bharat, we believe in creating a secure future by ensuring every child has a secure childhood. Our ongoing mission is to empower 4 million children, and we are committed to making this vision a reality. India's children possess immense potential, yet they face numerous challenges and limited opportunities. Our mission recognizes that similar efforts may not yield the same results for every child, and we are dedicated to tailoring our support to meet their unique needs online donation india . Join us in building a world where every child has access to equal opportunities and can grow with confidence. Together, we can create a brighter, more equitable future for all children. FAQs ARE THERE ANY TAX BENEFITS INVOLVED WHILE DONATING TO BAL RAKSHA BHARAT?</t>
        </is>
      </c>
    </row>
    <row r="15">
      <c r="A15" s="14" t="inlineStr">
        <is>
          <t>All donations made to Bal Raksha Bharat (Save the Children India) are 50% tax-exempt under section 80G of the Income Tax Act 1961. Section 80G of the Income Tax Act allows tax exemptions for various entities, including individuals, Hindu Undivided Families (HUFs), companies, and partnership firms. Its benefits are also available to Non-Residential Indians (NRIs). WHAT IS THE PROCESS TO AVAIL TAX EXEMPTION CERTIFICATE? Bal Raksha Bharat will provide your details to the Income Tax department by May 31, i.e. immediately following the financial year in which the donation was received. We will provide your Full Name, PAN number, and Complete Address to the Income Tax department to issue a Tax Exemption Certificate (10BE). HOW CAN I DONATE ONLINE? Visit the Bal Raksha Bharat donation page, where you will find two options - One-Time Donation: Choose this option if you want to make a single contribution. - Monthly Donation: Opt for monthly donations to provide sustained support. Select your preferred payment method. Ensure you provide your full name, address, and PAN number, to claim tax exemption. IS THERE ANY ADVANTAGE TO DONATING ONLINE? Donating online is cost-effective as it does not require regular visits to field offices or call centres. It is also faster, as online donations are instantaneous. Online donation generates instant documentation, which is sent to the donor's email address, ensuring transparency and ease of access - useful when filing a tax rebate. IS IT SAFE TO GIVE MY CREDIT CARD DETAILS ONLINE? As a part of our commitment to protecting user data, we will never share your information. We also do not store any sensitive information like your credit card or bank details. We also make stringent efforts to require all third-party service providers to hold personal information in strict confidence. HOW DO I CONTACT YOU REGARDING MY DONATION? Reach out to us at donorsupport@balrakshabharat.org , at +91 9870127127 / +91 9870147147 (telephone), or via mail at</t>
        </is>
      </c>
    </row>
    <row r="16">
      <c r="A16" s="14" t="inlineStr">
        <is>
          <t>the below-mentioned correspondence address: Bal Raksha Bharat Donor Support D-61, East of Kailash, New Delhi-110065 IS IT COMPLICATED TO MAKE A DONATION ONLINE? To donate online on Bal Raksha Bharat's website: - Specify your donation details and preferred mode of payment - You will be taken to a secure payment gateway - Fill in your credit card details; after which, you will get an immediate confirmation of your donation on the screen and via email. HOW SAFE IS MY PERSONAL INFORMATION WITH BAL RAKSHA BHARAT? We are committed to protecting the privacy of our website's users. Bal Raksha Bharat has implemented the necessary security mechanisms; only designated employees can access your personal information. All online transactions are done on a secure server, and the information you provide on the donation transaction page is encrypted using SSL. Modal title --&gt; At Bal Raksha Bharat (also known as Save the Children), nurturing children is nurturing the promise of India. Since 2004, we have made it our mission to transform childhood landscapes nationwide through compassion, care and relentless efforts. We are steadfast in our resolve to help the children of India build a Secure Childhood and thus a Secure Future. --&gt; Our approach at Bal Raksha Bharat is HOLISTIC as we address numerous aspects of childhood: access to health and nutrition, quality education, protection from harm, supporting with psychosocial needs and driving a well-rounded development of children. Protection from exploitation and access to equal opportunities help children thrive as architects of the nation's destiny. All of us at Bal Raksha Bharat pledge to make every day holistic for India's children - but we cannot walk alone, because shaping young lives cannot happen in isolation. It calls for unified effort from communities, government and supporters. Collaborating with on-ground workers, policymakers and donors, we build an ecosystem where children can flourish. In 15 years, over 1 crore young</t>
        </is>
      </c>
    </row>
    <row r="17">
      <c r="A17" s="14" t="inlineStr">
        <is>
          <t>children have thrived under the Bal Raksha umbrella. Between April 2022 and March 2023, 13.8 lakh children across 15 states were given the resources, support and opportunities to build a childhood they can cherish. Right from the inception of our work, we have been going right in the middle of communities, understanding ground realities, and engineering every initiative based on their unique needs. Be it facilitating access to healthcare, bridging gaps in education or providing crucial humanitarian aid during emergencies - we cater to every aspect of child welfare. Beyond short-term relief, we also empower families and communities to be more resilient in the face of adversities. In 2022-23, our educational programs assisted over 3.3 lakh children. Healthcare support was provided to 3.4 lakh children. Our humanitarian drives reached over 6.2 lakh children in disaster-hit zones with urgent aid and long-term rehabilitation. We aided communities during COVID-19, cyclones, provided relief to migrant workers and facilitated vaccination access. Each milestone fuels our conviction that we can transform childhood with compassion, care and unity. Over the years, through our groundwork, we have cultivated strong ties with communities, government bodies, and our donors and support to build an enabling ecosystem through which children can benefit. Whether it is listening to community needs, co-designing localised initiatives, contributing towards shaping of national policy through insights and research, and forging partnerships: all of this in pursuit of ushering in holistic child development. We pledge to continue to reach more and more children in need and ensure that no child is left behind. We are committed to help bridge the gap between the childhood some children endure and the one they deserve. While we have come far, the journey is still on. And we can only walk this path together with our supporters. Your contribution can help us cover crucial lengths - empower children</t>
        </is>
      </c>
    </row>
    <row r="18">
      <c r="A18" s="14" t="inlineStr">
        <is>
          <t>with education, health, safety and help them tap the opportunities they deserve. Choose how you would like to make a difference in a child's life. In big and small ways, let us come together as guardians to help shape India's tomorrow. Donate now to Save the Children India to create lasting change - child by child. Read Less Save changes --&gt; &amp;times; With Nepal. For Every Child. Bal Raksha Bharat stands in solidarity with the children and communities affected by the devastating floods and landslides in Nepal. We stand with them in this difficult time - for their safety, recovery and a future filled with hope. 🍂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t>
        </is>
      </c>
    </row>
    <row r="19">
      <c r="A19" s="14" t="inlineStr">
        <is>
          <t>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2025 Bal Raksha Bharat | All Rights Reserved © 2025 Bal Raksha Bharat | All Rights Reserved Privacy Policy &amp;nbsp;&amp;nbsp; Terms &amp;amp; Conditions &amp;nbsp;&amp;nbsp; Sitemap Privacy Policy &amp;nbsp;&amp;nbsp; Terms &amp;amp; Conditions --&gt; © 2026 Bal Raksha Bharat | All Rights Reserved Visitors: 21918306 Privacy Policy &amp;nbsp;&amp;nbsp; Terms &amp; Conditions &amp;nbsp;&amp;nbsp;&amp;nbsp; Sitemap Donate Now &amp;times; --&gt; --&gt; Your Donation Can Change Lives: Support Our Nutrition Campaign! Learn More x --&gt; We Value Your Feedback are do you Email Address * 1. How would you rate</t>
        </is>
      </c>
    </row>
    <row r="20">
      <c r="A20" s="14" t="inlineStr">
        <is>
          <t>your overall experience with our website? Rate 1 out of 5 Rate 2 out of 5 Rate 3 out of 5 Rate 4 out of 5 Rate 5 out of 5 with our with 2. How do you feel about the user interface (UI) design? Rate 1 out of 5 Rate 2 out of 5 Rate 3 out of 5 Rate 4 out of 5 Rate 5 out of 5 3. How satisfied are you with the content on our website? Rate 1 out of 5 Rate 2 out of 5 Rate 3 out of 5 Rate 4 out of 5 Rate 5 out of 5 Comments/Feedback and Improvements I consent to my feedback being used for improvement purposes. Submit Close</t>
        </is>
      </c>
    </row>
    <row r="21">
      <c r="A21" s="14">
        <f>==== PAGE: https://savethechildren.in/terms-conditions =====</f>
        <v/>
      </c>
    </row>
    <row r="22">
      <c r="A22" s="14" t="inlineStr">
        <is>
          <t>--&gt; --&gt; --&gt; Terms &amp;amp; Conditions - Bal Raksha Bharat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Terms &amp;#038; Conditions Terms &amp;#038; Conditions terms-conditions Terms &amp;amp; Conditions This website is solely owned and operated by Bal Raksha Bharat. Bal Raksha Bharat provides this website, including all information, software and services available on this website to the user, provided the user/s accepts all the terms, conditions, policies and notices described herein (hereinafter “General Terms and Conditions”). Please carefully read the General Terms and Conditions and our privacy policy before using our website. By using our website the user consents to all the said terms, conditions, policies and notices. These Terms and Conditions are applicable to all site visitors, registered users, and all other users of Bal Raksha Bharat website. Use of website by user As a condition to the use of this website, the user also warrants to Bal Raksha Bharat that the user will not use this website for any purpose that is unlawful or prohibited by law and/or these General Terms and Conditions. Disclaimers Use of this website is at the user’s own risk. The website is provided on an “AS AVAILABLE” and “AS IS” basis. Bal Raksha Bharat reserves the right to restrict or terminate any user/s access to the website or any feature or any part thereof at any time. Bal Raksha Bharat expressly disclaims all warranties of any kind, whether express or</t>
        </is>
      </c>
    </row>
    <row r="23">
      <c r="A23" s="14" t="inlineStr">
        <is>
          <t>implied, including but not limited to the implied warranties of merchantability and fitness for a particular purpose and any warranties that materials on the website are non-infringing; that access to the website will be uninterrupted or free from error; that the website or any content submitted to the website will be secure; that the website or servers that make the website will be free from viruses; that the information on the website will be complete, accurate and timely. No advice or information, whether oral or written, obtained by the user from Bal Raksha Bharat or from the website shall create any warranty of any kind. Bal Raksha Bharat does not make any warranties or representations regarding any results obtained by the user in relying on the materials on this website or the use of the materials on the website in terms of their completeness, accuracy, usefulness, reliability or otherwise. If the user downloads any material from the website, the user will do so at its own discretion and risk. The user will be solely responsible for any damage to its computer system or loss of data that results from the download of any such materials. Limitation of liability To the fullest extent permitted under applicable law, the user understands and agrees that no member of Bal Raksha Bharat shall be liable for any direct, indirect, incidental, special, exemplary, consequential, punitive or any other damages relating to or resulting from (i) the usage of this website or any other website that the user accesses through a link from this website. (ii) publishing of any information, comment or any other information on or to the website by the user or any person using the computer of the user, or (iii) use by any third party of the user&amp;#8217;s username or password. These include damages for errors, omissions, interruptions, defects, delays, computer viruses, loss of data, unauthorized access to or alterations of users data, and other tangible and intangible losses. This</t>
        </is>
      </c>
    </row>
    <row r="24">
      <c r="A24" s="14" t="inlineStr">
        <is>
          <t>limitation applies regardless of whether the damages are claimed under the terms of a contract, as of negligence, or otherwise arise out of or in connection with the use, inability to use or performance of the information, services, products or materials available from this website and even if Bal Raksha Bharat or its representatives have been negligent or have been advised of the possibility of such damages. Indemnification User will on demand indemnify and hold harmless Bal Raksha Bharat, its affiliates and their respective current, future or former officers, directors, employees, partners, agents, contractors, licensors, licensees, suppliers and their successors or assigns, from and against any and all fines, penalties, liabilities, losses and other damages of any kind whatsoever (including attorneys’ and experts’ fees) incurred by any of them , and, if directed by Bal Raksha Bharat, shall defend Bal Raksha Bharat against (i) all claims that any information, data or other materials provided or Published by user in connection with the website or these General Terms and Conditions, or use thereof by any its affiliates and their respective current, future or former officers, directors, partners, employees, agents, contractors, licensors, licensees, suppliers and their successors or assigns of Bal Raksha Bharat, infringes, misappropriates or otherwise violates any patent, trademark, copyright, trade secret or other intellectual property, proprietary or privacy right of a third party, or that violates any law, rule or regulation; (ii) all claims arising from fraud, intentional misconduct, criminal acts or gross negligence by the user; and (iii) all claims otherwise arising due to a failure by the user to comply with any of these General Terms and Conditions. Representations, covenants and warranties of user User represents, covenants and warrants to Bal Raksha Bharat that (1) these General Terms and Conditions have been executed and delivered by User and constitute a</t>
        </is>
      </c>
    </row>
    <row r="25">
      <c r="A25" s="14" t="inlineStr">
        <is>
          <t>valid and binding agreement of User, enforceable against User in accordance with their terms; (2) User will not access or use the website except as expressly permitted by these General Terms and Conditions and any additional instructions, guidelines or policies issued by Bal Raksha Bharat, including those posted on the Bal Raksha Bharat website (www.balrakshabharat.org); (3) User will access and use the website in full compliance with applicable Law; (4) User is at least eighteen (18) years old, or, if younger than eighteen (18) years old, User is of an age sufficient to execute a legally enforceable agreement on his or her own behalf in the applicable jurisdiction; (5) all of the information, data and other materials provided by User in support of User’s application for registration are accurate and truthful in all respects; and (6) User is the rightful owner of the account opened it in his or her name, including but not limited to Payment Accounts, and is authorized to commit funds from the relevant accounts to Bal Raksha Bharat for purposes of conducting Transactions (7) User is not barred or otherwise legally prohibited from accessing or using the Bal Raksha Bharat website under the laws of India. Intellectual property rights including trademarks and copyright Bal Raksha Bharat and/or its affiliates, suppliers or licensors retain full and complete title to the materials and to any and all of the associated intellectual property rights. Any other use of the materials on the website, including but not limited to the modification, distribution, transmission, performance, broadcast, reproduction, publication, licensing, reverse engineering, transfer or sale of, or the creation of derivative works from, any materials, information, software, products or services obtained from the website, without the prior written permission of Bal Raksha Bharat, is expressly prohibited. Bal Raksha Bharat and other marks used on this website are trademarks or registered trademarks and</t>
        </is>
      </c>
    </row>
    <row r="26">
      <c r="A26" s="14" t="inlineStr">
        <is>
          <t>intellectual property of Bal Raksha Bharat and/or its affiliates and are protected by intellectual property laws. Other trademarks appear on the website with permission from their respective owners. Except for material in the public domain under Indian copyright law, all material contained on the website (including all software, HTML code, Java applets, Active X controls and other code) is protected by applicable Indian and foreign copyright laws. The unauthorized use by the user of trademarks,copyright and/or any intellectual properties appearing on the website shall constitute infringement, which could subject the user to substantial civil and criminal penalties. Transactions Method of Payment. In order to complete a Transaction, users may need to provide a method of payment (“Payment Account”) as specified during the registration process. Users may execute a single Transaction at a time or execute multiple Transactions on a recurring basis (e.g., monthly, quarterly, annually, etc.), depending upon the options selected during the Transaction process. The user authorizes Bal Raksha Bharat to charge the Payment Account at the frequency and in the amounts designated by the user during the Transaction process.Once submitted, amounts paid are non-refundable. However, in the event your donation was not intended for Bal Raksha Bharat, the user may request a refund subject to Refund Policy of Bal Raksha Bharat updated under FAQ Section of Website Donations. User acknowledges and agrees that Bal Raksha Bharat did not provide any goods or services to User personally in consideration for any donations made by User as part of a Transaction. Bal Raksha Bharat will apply User’s donations in accordance with its internal policies and procedures. Changes to these general terms and conditions Bal Raksha Bharat reserves the right to make changes to these General Terms and Conditions at any time by posting revised General Terms and Conditions on the website. By continuing to use the</t>
        </is>
      </c>
    </row>
    <row r="27">
      <c r="A27" s="14" t="inlineStr">
        <is>
          <t>website, the user agrees to all changes made by Bal Raksha Bharat. Jurisdiction This website is controlled and operated by Bal Raksha Bharat from their registered office at D-61, II Floor, East of Kailash, New Delhi-110065. The disputes regarding these General Terms and Conditions shall be tried exclusively by the courts of Delhi . Bal Raksha Bharat recognizes that it is possible for the user to obtain access to this website from any jurisdiction in the worldThis website has been designed to comply with the laws of India and those who choose to access the website from other locations do so on their own initiative and are responsible for compliance with local laws if and to the extent local laws are applicable. If any material on this website, or your use of the website, is contrary to the laws of the place where the user is present at the time of accessing it, then the website is not intended to be used there. The user should not use or export materials on this website in violation of any laws and/or regulations including Indian. Suspension Bal Raksha Bharat may suspend or limit User’s access to the website if Bal Raksha Bharat, in its sole discretion, suspects that User is in violation of, or reasonably likely to be in violation of, these General Terms and Conditions or any additional instructions, guidelines or policies issued by Bal Raksha Bharat, including those posted on the Bal Raksha Bharat website (www.balrakshabharat.org). Linking Bal Raksha Bharat permits linking to content on our website. Linking should not suggest that Bal Raksha Bharat promotes or encourages any third party&amp;#8217;s causes, ideas, websites, products or services. Linking should not use Bal Raksha Bharat content for inappropriate commercial purposes or in any way that is unlawful or harmful to any other person or entity. Bal Raksha Bharat reserves the right to withdraw permission for any link. Miscellaneous If any provision of this agreement is unlawful, void or unenforceable, the</t>
        </is>
      </c>
    </row>
    <row r="28">
      <c r="A28" s="14" t="inlineStr">
        <is>
          <t>remaining provisions of the agreement will remain in place. These General Terms and Conditions constitute the entire agreement and understanding between the user and Bal Raksha Bharat with respect to use of the website, superseding all prior or contemporaneous communications.. A printed version of these General Terms and Conditions shall be admissible in judicial or administrative proceedings based on or relating to use of the website to the same extent and subject to the same conditions as other business documents and records originally generated and maintained in printed form. How to Contact us Bal Raksha Bharat National Support Office, Registered Office: Bal Raksha Bharat, D-61, East of Kailash, New Delhi – 110065 Call us on Tel: +91 9870127127 / +91 9870147147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t>
        </is>
      </c>
    </row>
    <row r="29">
      <c r="A29" s="14" t="inlineStr">
        <is>
          <t>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21918621 Privacy Policy &amp;nbsp;&amp;nbsp; Terms &amp; Conditions &amp;nbsp;&amp;nbsp;&amp;nbsp; Sitemap</t>
        </is>
      </c>
    </row>
    <row r="30">
      <c r="A30" s="14" t="inlineStr">
        <is>
          <t>Donate Now</t>
        </is>
      </c>
    </row>
    <row r="31">
      <c r="A31" s="14">
        <f>==== PAGE: https://savethechildren.in/privacy-policy =====</f>
        <v/>
      </c>
    </row>
    <row r="32">
      <c r="A32" s="14" t="inlineStr">
        <is>
          <t>--&gt; --&gt; --&gt; Privacy Policy - Bal Raksha Bharat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Privacy Policy Privacy Policy privacy-policy Privacy Policy At Bal Raksha Bharat, we respect the privacy of the users of our website. This Privacy Statement is intended to lay down the practices we follow for honouring the privacy preferences of the people visiting our website balrakshabharat.org . The Privacy Policy document also elaborates on our information collection and sharing practices. Irrespective of the mode in which we receive your personal information (whether via this website or over the phone or through any other means), we make all earnest attempts to honour your privacy. This document contains the requisite information about Bal Raksha Bharat India’s responsibilities, your rights, information which is collected by us and how it is used. By Accessing And/or Using This Website, You Agree To Abide By The Practices Described In This Privacy Statement Which May Be Changed From Time To Time. Information We Collect From You We collect information from you to extend services like processing of your donations, providing receipts and tax exemption certificates, sending regular updates about the work we do for children, respond to your queries and apprising you of the new opportunities to help deprived and marginalized children of India in a better way. Depending on the type of communication or transaction, the personal information we</t>
        </is>
      </c>
    </row>
    <row r="33">
      <c r="A33" s="14" t="inlineStr">
        <is>
          <t>collect may include, but is not limited to, your name, postal address, date of birth, PIN code, telephone numbers, mobile phone numbers, your organization’s name, email addresses, credit/debit card information, bank information or billing information. Where And When We Collect Personal Information We seek your personal information when you make a donation, request a communication from us, register for an on-ground event, pledge support to our work and campaigns and apply for working or volunteering with Bal Raksha Bharat. This information may be sought over the phone, through the website, via email or by the means of face-to-face interaction. Information Security Bal Raksha Bharat has in place the necessary security mechanisms and only designated employees have access to your personal information. All online transactions are done on a secure server. The information you provide on the donation transaction page is encrypted using SSL &amp;#8211; Secure Sockets Layer (you will see a green padlock icon in the left hand side of the address bar in your browser). At the same time, the website address in the address bar at the top of the browser screen starts with an &amp;#8216;https&amp;#8217; instead of an &amp;#8216;http&amp;#8217;. Donation pages are verified by VeriSign and transactions are processed using a VeriSign merchant account. Dnd Policy I agree and consent to receive all communications at the mobile number provided, even if this mobile number is registered under DND/NCPR list under TRAI regulations. And for that purpose, I further authorise Company to share/disclose the information to any third party service provider or any affiliates, group companies, their authorised agents or third party service providers. Bal Raksha Bharat or their third party service provider or any affiliates will be making calls and sending SMS/Email/WhatsApp through a third party platform. Bal Raksha Bharat May Share Your Personal Information Except in the limited circumstances elicited below, Bal Raksha</t>
        </is>
      </c>
    </row>
    <row r="34">
      <c r="A34" s="14" t="inlineStr">
        <is>
          <t>Bharat will never intentionally share your email addresses, phone numbers or financial information. Credit/Debit Card Transactions, Electronic Fund Transfers and Payments by Cheque: We avail the services of third parties to provide donation facilities by the means of cheque, credit/debit card payments or electronic fund transfers. While your information may be shared with these third parties, we make stringent efforts to require all third party service-providers to hold personal information in strict confidence. However, since we do not have complete control over these third parties, we cannot guarantee your privacy. Necessity: If Bal Raksha Bharat is convinced that there has been some inappropriate activity with or on our website/webpages, communications, charitable services or personal or real property or if we have reasons to believe that any using one of the Bal Raksha Bharat website, our donors, employees, partners, vendors, etc. have been inflicted with any harm, we will disclose (we may or may not notify you) personal information as we deem appropriate. Required by Law: If any government or legal bodies require any information from us under the purview of a law or a legal compliance, we may go ahead and disclose the same. Merger, Acquisition or other Corporate Restructure: We also may transfer your personal information to a third party successor in interest if we are involved in an acquisition, merger or other transfer of control or sale of assets. Requesting Communication: We have on board certain vendors who execute several donor (existing or potential)-related activities for us like send direct mails, emailers, greeting cards, making phone calls, and others. We may share your information like phone numbers, email address, etc. with these agencies so that they can perform these activities on behalf of Bal Raksha Bharat. Cookie Policy Cookies are pieces of electronic information which will be sent by Bal Raksha Bharat when you log onto our website. These</t>
        </is>
      </c>
    </row>
    <row r="35">
      <c r="A35" s="14" t="inlineStr">
        <is>
          <t>will be placed in your computer&amp;#8217;s hard disk and enable us to recognise you as a user when you next visit. You can configure your browser so that it responds to cookies the way you deem fit. For example, you make want to accept all cookies, reject them all or get notified when a cookie is sent. Please check your browser’s settings to modify cookie behaviour as per your individual behaviour. Please note that if you disable the use of cookies on your web browser or remove or reject specific cookies from our website or linked sites then you may not be able to use the website as it is intended. Changes To Privacy Practices As and when the need arises, Bal Raksha Bharat may alter its privacy practices in accordance with the latest technology and trends. We strive to provide you with timely notice of these changes. You may reach out to us if you have any queries about any changes made to our practices. For Know more about Terms &amp;amp; Conditions Please call: 9870127127 or Send an email to: donorsupport@balrakshabharat.org or Send a letter to: Bal Raksha Bharat D-61, East of Kailash, New Delhi – 110065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t>
        </is>
      </c>
    </row>
    <row r="36">
      <c r="A36" s="14" t="inlineStr">
        <is>
          <t>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t>
        </is>
      </c>
    </row>
    <row r="37">
      <c r="A37" s="14" t="inlineStr">
        <is>
          <t>Bharat | All Rights Reserved © 2024 Bal Raksha Bharat | All Rights Reserved Privacy Policy &amp;nbsp;&amp;nbsp; Terms &amp; Conditions &amp;nbsp;&amp;nbsp;&amp;nbsp; Sitemap Privacy Policy &amp;nbsp;&amp;nbsp;&amp;nbsp;&amp;nbsp;&amp;nbsp; --&gt; © 2026 Bal Raksha Bharat | All Rights Reserved Website Visitors: 21918431 Privacy Policy &amp;nbsp;&amp;nbsp; Terms &amp; Conditions &amp;nbsp;&amp;nbsp;&amp;nbsp; Sitemap Donate Now</t>
        </is>
      </c>
    </row>
    <row r="38">
      <c r="A38" s="14">
        <f>==== PAGE: https://savethechildren.in/about-us =====</f>
        <v/>
      </c>
    </row>
    <row r="39">
      <c r="A39" s="14" t="inlineStr">
        <is>
          <t>--&gt; --&gt; --&gt; Know More About Top NGO For Donation | Bal Raksha Bharat India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team About Us About Us about-us About Bal Raksha Bharat Bal Raksha Bharat is actively working across 19 states and 3 Union Territories, implementing programs that address critical issues like education, healthcare, child protection and disaster relief. Since its format registration in 2004, the organisation has directly reached and improved the lives of over 1 crore children across India. Through its sustained efforts, Bal Raksha Bharat continues to build a brighter, safer and more equitable future for children in India. Bal Raksha Bharat NGO believes that every child deserves the best chance for a bright future and that’s why we are fiercely committed towards ensuring that children not only survive, but thrive. We run programmes in the remotest corners of India and urban areas to provide quality education and healthcare, child protection from harm and abuse and life-saving aid during emergencies to children. We work to build children’s resilience and ensure that they receive the opportunities to march ahead in life. Bold in our ambition and powerful in our care, we do whatever it takes to save children. Our pioneering programmes for children’s unique needs, giving them a healthy start, the opportunity to learn well and a secure environment. When crisis strikes, we are always among the first to respond and the</t>
        </is>
      </c>
    </row>
    <row r="40">
      <c r="A40" s="14" t="inlineStr">
        <is>
          <t>last to leave. We are outspoken champions for children, ensuring their voices are heard and their issues are given top priority. Globally, Save the Children is present in more than 110 countries and works to improve the lives of the most vulnerable children living there. Drawing on a century of expertise, we take on the toughest challenges facing the hardest-to-reach children – especially those unfairly excluded from the world’s progress.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t>
        </is>
      </c>
    </row>
    <row r="41">
      <c r="A41" s="14" t="inlineStr">
        <is>
          <t>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21918342 Privacy Policy &amp;nbsp;&amp;nbsp; Terms &amp; Conditions &amp;nbsp;&amp;nbsp;&amp;nbsp; Sitemap Donate Now</t>
        </is>
      </c>
    </row>
    <row r="42">
      <c r="A42" s="14">
        <f>==== PAGE: https://savethechildren.in/overview =====</f>
        <v/>
      </c>
    </row>
    <row r="43">
      <c r="A43" s="14" t="inlineStr">
        <is>
          <t>--&gt; --&gt; --&gt; How We Help Children | Bal Raksha Bharat India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overviewBnr Overview Overview overview Bal Raksha Bharat Overview At Bal Raksha Bharat (also known as Save the Children), nurturing children is nurturing the promise of India. Since 2004, we have made it our mission to transform childhood landscapes nationwide through compassion, care and relentless efforts. We are steadfast in our resolve to help the children of India build a Secure Childhood and thus a Secure Future. Our approach at Bal Raksha Bharat is HOLISTIC as we address numerous aspects of childhood: access to health and nutrition, quality education, protection from harm, supporting with psychosocial needs and driving a well-rounded development of children. Protection from exploitation and access to equal opportunities help children thrive as architects of the nation&amp;#8217;s future. We, at Bal Raksha Bharat, pledge to make every impact holistic for India&amp;#8217;s children &amp;#8211; but we cannot walk alone, because shaping young lives cannot happen in isolation. It calls for unified effort from communities, government and supporters. Collaborating with on-ground workers, policymakers and donors, we build an ecosystem where children can flourish. In 15 years, we have touched lives of over 1 crore young children through our outreach programmes. Between April 2022 and March 2023, we provided 13.8 lakh children across 15</t>
        </is>
      </c>
    </row>
    <row r="44">
      <c r="A44" s="14" t="inlineStr">
        <is>
          <t>states with resources, support and opportunities to build a childhood they can cherish. Right from the inception of our work, we have been working right in the middle of communities, understanding ground realities, and engineering every initiative based on their unique needs. Be it facilitating access to healthcare, bridging gaps in education or providing crucial humanitarian aid during emergencies &amp;#8211; we cater to every aspect of child welfare. Beyond short-term relief, we also empower families and communities to be more resilient in the face of adversities. In 2022-23, our education programs assisted over 3.3 lakh children. Healthcare support was provided to 3.4 lakh children. Our humanitarian drives reached over 6.2 lakh children in disaster-hit zones with urgent aid and long-term rehabilitation. We aided communities during COVID-19, cyclones, provided relief to migrant workers and facilitated vaccination access. Each milestone fuels our conviction that we can transform childhood with compassion, care and unity. Over the years, through our groundwork, we have cultivated strong ties with communities, government bodies, our donors and support to build an enabling ecosystem through which children can benefit. Whether it is listening to community needs, co-designing localised initiatives, contributing towards shaping of national policy through insights and research, and forging partnerships : all of this in pursuit of ushering in holistic child development. Our Theory of Change The work we do for the children of India revolves around the Theory of Change. Our set of interventions are planned with the vision that their outcomes should lead to specific developments and change at the ground level. Achieve results at scale Establish credibility of our models through evidence-based, integrated and sustainable programming to ensure positive and scalable impact on marginalised children Build strategic partnerships Strategic alliances with children, communities,</t>
        </is>
      </c>
    </row>
    <row r="45">
      <c r="A45" s="14" t="inlineStr">
        <is>
          <t>government, donors and peers to expand and amplify our expertise on child welfare Be a convenor of voices Being a convenor of voices of and for children through evidence-based advocacy and campaigns to inspire collective action that advocacy and campaigns to inspire collective action that drives change Be an innovator Be the catalyst to drive new ideas that deliver positive impact at scale for children, focused on the intersection of our ambitions for children and their most pressing problems OUR JOURNEY IN THE LAST 15 YEARS Education Education We help educate and empower children. We ensure their enrollment and retention in school through our holistic approach and help create better learning environments. 17,62,321 children have been provided Education support in the last 15 years Read More Child Protection Child Protection We work to protect children from different forms of abuse and exploitation such as child labour, child marriage, neglect and violence. 22,49,797 children have been given a shield of protection by our efforts in the last 15 years Read More Health and Nutrition Health and Nutrition We provide crucial healthcare support to children, which include newborn babies, infants, young children, and adolescents. 28,23,051 children have benefitted from projects on healthcare &amp;amp; nutrition in the last 15 years Read More Poverty &amp;amp; Inclusion Poverty &amp;amp; Inclusion We work to tackle poverty affecting children’s lives and promote social inclusion 13,42,896 were supported through our work in this area Read More Covid-19 Covid-19 During successive waves of the Covid-19 pandemic, we worked relentlessly to provide relief and psychosocial support to children and their families. 13,60,345 were supported through our Covid-19 Reponse Programmes Humanitarian Humanitarian We provide life-saving relief and rehabilitation support to vulnerable children and their communities during emergencies and disasters 4,19,841 children have been provided humanitarian support Read</t>
        </is>
      </c>
    </row>
    <row r="46">
      <c r="A46" s="14" t="inlineStr">
        <is>
          <t>More Over the years, Bal Raksha Bharat has registered its presence in 19 states and 3 Union Territories of India through projects aimed at addressing the most pressing needs of children. Here’s a snapshot of the number of children we have reached directly in various states and Union Territories.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t>
        </is>
      </c>
    </row>
    <row r="47">
      <c r="A47" s="14" t="inlineStr">
        <is>
          <t>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21918370 Privacy Policy &amp;nbsp;&amp;nbsp; Terms &amp; Conditions &amp;nbsp;&amp;nbsp;&amp;nbsp; Sitemap Donate Now</t>
        </is>
      </c>
    </row>
    <row r="48">
      <c r="A48" s="14">
        <f>==== PAGE: https://savethechildren.in/about-us/mission-and-vision =====</f>
        <v/>
      </c>
    </row>
    <row r="49">
      <c r="A49" s="14" t="inlineStr">
        <is>
          <t>--&gt; --&gt; --&gt; Mission and Vision of The NGO | Bal Raksha Bharat India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missionImg About Us Mission &amp;#038; Vision Bal Raksha Bharat Mission and Vision Bal Raksha Bharat is India’s leading independent child welfare’ NGO, which works in 19 states and 3 Union Territories of India. Beginning its journey in 2004, we have changed the lives of more than 10 million children till March 2022. We firmly believe that every child deserves the best chance for a bright future, which is why, we are fiercely committed to ensure that children not only survive, but thrive. With a bold ambition and a powerful vigilance, we do whatever it takes to Save Children. In India and across the world, Bal Raksha Bharat works on-ground – every day and especially, in times of crisis. Our pioneering programs address children’s unique needs; giving them a healthy start, an opportunity to learn as well as protection from harm. When crisis strikes, we are always among the first to respond and the last to leave. We are the outspoken champions for children, ensuring that their voices are heard and their issues are given top priority. Drawing on a century of leading expertise, we take on the toughest challenges, facing the hardest-to-reach children – especially those unfairly excluded from the world’s progress. We are proud to be the world’s leading expert on children, delivering lasting results to millions of vulnerable girls</t>
        </is>
      </c>
    </row>
    <row r="50">
      <c r="A50" s="14" t="inlineStr">
        <is>
          <t>and boys. By saving our world’s children, we transform their lives and the future we share. While we run several programmes across India , we also work in tandem with numerous government agencies, civil society organizations, and communities across five core themes: Health &amp;amp; Nutrition , Education , Child Protection , Humanitarian Response , as well as Disaster Risk Reduction and Economic well-being . While we work to fulfill our vision, our mission statement endlessly inspires us.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t>
        </is>
      </c>
    </row>
    <row r="51">
      <c r="A51" s="14" t="inlineStr">
        <is>
          <t>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21918462 Privacy Policy &amp;nbsp;&amp;nbsp; Terms &amp; Conditions &amp;nbsp;&amp;nbsp;&amp;nbsp; Sitemap Donate Now</t>
        </is>
      </c>
    </row>
    <row r="52">
      <c r="A52" s="14">
        <f>==== PAGE: https://savethechildren.in/about-us/our-team =====</f>
        <v/>
      </c>
    </row>
    <row r="53">
      <c r="A53" s="14" t="inlineStr">
        <is>
          <t>--&gt; --&gt; --&gt; Meet our NGO Staff and Team | Bal Raksha Bharat India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Our Team About Us Our Team our-team Our Team Santanu Chakraborty &amp;#8211; Chief Executive Officer Santanu, a champion for child rights and humanitarian response, is leading program implementation at Bal Raksha Bharat including evaluation, and technical support, multi-sectoral program development &amp;amp; humanitarian response for almost two decades across various themes. He demonstrates the capacity to secure access, undertake longer-term association with CSOs and develop evidence-based strategies on various issues affecting the lives of most marginalized children and their families in some of the most challenging contexts. He is enthusiastic about bringing lasting changes in the lives of the less privileged and their communities by ensuring their equal access to social, gender, economic and civil rights delivered through a high-performance &amp;amp; values-based organisation, innovative programming and partnerships for scale. He comes with decade long experience of working with multiple bilateral and multilateral organisations like SOS Children’s Villages of India, Institute of Health Management Research, CARE India, Sightsavers International, UNICEF, Cairn India in different capacities. Subhashish Neogi, Director &amp;#8211; Finance, Legal &amp;amp; IT Subhashish has been serving as Director – Finance, Legal &amp;#038; IT at Bal Raksha</t>
        </is>
      </c>
    </row>
    <row r="54">
      <c r="A54" s="14" t="inlineStr">
        <is>
          <t>Bharat since 2019. With over 30 years of experience, he has extensive expertise in financial reporting, treasury, internal audit, risk management, taxation, governance, compliance, costing, budgeting, and asset management. He has successfully designed and implemented modern accounting and compliance systems that strengthen controls, improve efficiency, and enhance regulatory compliance. In his current role, he leads digital transformation initiatives focused on automation, operational excellence, stronger controls, and data-driven decision-making. He contributed to organizational development by building high-performing finance teams and providing strategic support. Internationally, he was seconded to Save the Children Indonesia to support finance transformation and served on the peer review team assessing Save the Children Philippines for membership approval. A Chartered Accountant, Cost Accountant, Company Secretary, and LLB, he graduated from St. Xavier’s College, Kolkata and has held leadership roles in Tata Steel, Reliance Communications, and Ecolab Inc.” Ritu Mendiratta, Director &amp;#8211; Human Resource, Admin With over 2 decades of invaluable experience in the development sector, Ritu brings a wealth of knowledge and accomplishments from her tenure at leading organizations such as CARE, Oxfam, and Médecins Sans Frontières (Doctors Without Borders). Ritu&amp;#8217;s expertise encompasses a comprehensive range of areas including end-to-end HR management, organizational development, change management, policy formulation and implementation, strategic HR and systems design, benefits administration, and legal compliance. She is also a certified investigator trained by CHS Alliance, with extensive experience in handling investigations related to staff misconduct, including cases of sexual harassment. Beyond her professional achievements, Ritu is deeply committed to advancing social causes and has served as a member of Whiteboard, an initiative by iVolunteer aimed at</t>
        </is>
      </c>
    </row>
    <row r="55">
      <c r="A55" s="14" t="inlineStr">
        <is>
          <t>bringing skills and expertise to the social development sector. Ritu holds dual master&amp;#8217;s degrees in Public Administration and Business Administration (MBA) and in her free time, enjoys cooking, writing poems, and spending time with her family and friends. Avinash, Director &amp;#8211; Programme Management Avinash is a senior development professional with over 20 years of progressive experience in Strategy, Operations, Resource Mobilization and Influencing. He has extensively worked in a public policy context and engaged with the government at various levels, specifically in large-scale multi-geography and multi-thematic programming. He focuses on child rights programming and multiple interventions for children, including ECCE, education, protection, and livelihood. He is an experienced senior leader with expertise in complex operational management, matrix line management, large-scale multi-geography, multi-thematic programming and multi-donor grants. Before joining Bal Raksha Bharat, he worked in various national-level social impact and research organizations. Sanjay Sharma, Director – Resource Mobilization and External Engagement Sanjay Sharma is a seasoned Development Program Specialist with 24 years of leadership experience in program design, execution, and resource mobilization. Throughout his career, he has worked with prominent organizations such as NRHM (Ministry of Health &amp;amp; FW), CARE, PATH, DFID, and Bal Raksha Bharat. He has successfully led wide networks of member federations and coalitions including Joining Forces, White Ribbon Alliance, RMNCH+A partners coalition to maximize impact through collective strength. Currently, Sanjay serves as the Director, Resource Mobilization ( acting) at Bal Raksha Bharat (Save the Children India). A key member of the Save the Children India Senior Leadership Team, Sanjay was honored with the prestigious Jaipur Samman in 2023. In his previous roles, Sanjay has effectively managed multi-million-dollar grants, led</t>
        </is>
      </c>
    </row>
    <row r="56">
      <c r="A56" s="14" t="inlineStr">
        <is>
          <t>regional teams, and developed sustainable strategies that significantly improved program outcomes. His expertise in strategic leadership, program operations, relationship building, and fundraising has been recognized through various accolades, including the CEO Special Mention Award in 2022 and Chairman special team award in 2024. Sanjay holds a Master of Population Studies from Annamalai University, an MBA from the Indian Institute of Rural Management, Jaipur, and an LLB from the University of Rajasthan. He has also earned several certificates in Human Rights, Advocacy, and Leadership Development. An author of multiple books and papers published in reputed journals, Sanjay continues to contribute to the fields of community and youth development. His commitment to driving impactful change through innovative strategies and strong partnerships underscores his distinguished career in the development sector. Shweta Malhotra, Head &amp;#8211; Organisational Development &amp;amp; Governance Affairs Shweta Malhotra, a seasoned professional with 17 years of dedicated service at Bal Raksha, Bharat (Save the Children India), currently serves as the Head of Governance &amp;amp; Organisation Development. In this role, she adeptly oversees the Board, CEO’s office, and plays a pivotal role in enhancing the organization’s adaptability in an ever-changing dynamic environment. A true advocate for fostering a human-centric culture, Shweta thrives on meaningful connections with people. Her professional narrative includes a fascinating chapter as a freelance fashion designer, where she successfully ran her own label. Beyond her professional pursuits, she finds joy in travelling with her family and relishes the simple pleasures of snuggling up with a good book and a cup of coffee. Sign up for the newsletter here: Subscribe Follow us on Follow us on About us Overview Mission &amp;#038; Vision Governing Council Our Team Award and Recognition Certificates Financials What we do? Our Strategy Our Presence</t>
        </is>
      </c>
    </row>
    <row r="57">
      <c r="A57" s="14" t="inlineStr">
        <is>
          <t>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t>
        </is>
      </c>
    </row>
    <row r="58">
      <c r="A58" s="14" t="inlineStr">
        <is>
          <t>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21918464 Privacy Policy &amp;nbsp;&amp;nbsp; Terms &amp; Conditions &amp;nbsp;&amp;nbsp;&amp;nbsp; Sitemap Donate Now</t>
        </is>
      </c>
    </row>
    <row r="59">
      <c r="A59" s="14">
        <f>==== PAGE: https://savethechildren.in/about-us/financials =====</f>
        <v/>
      </c>
    </row>
    <row r="60">
      <c r="A60" s="14" t="inlineStr">
        <is>
          <t>--&gt; --&gt; --&gt; Finance Spends and Budget Reports | Bal Raksha Bharat India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eduBnr Financials About Us Financials financials Our Financials Audited Financials Select year Audited Financials 2025-26 Audited Financials 2024-25 Audited Financials 2023-24 Audited Financials 2022-23 Audited Financials 2021-22 Audited Financials 2020-21 Audited Financials 2019-20 Audited Financials 2018-19 Audited Financials 2017-18 Audited Financials 2016-17 Download FCRA Accounts Select year FCRA Accounts 2024-25 FCRA Accounts 2023-24 FCRA Accounts 2022-23 FCRA Accounts 2021-22 FCRA Accounts 2020-21 FCRA Accounts 2019-20 FCRA Accounts 2018-19 FCRA Accounts 2017-18 FCRA Accounts 2016-17 FCRA Accounts 2015-16 Download Annual Reports Select year Annual Report 2025-26 Annual Report 2024-25 Annual Report 2023-24 Annual Report 2022-23 Annual Report 2021-22 Annual Report 2020-21 Annual Report 2019-20 Annual Report 2018-19 Annual Report 2017-18 Annual Report 2016-17 Download You can write to info@balrakshabharat.org to see our older Annual Reports, Financial Statements and other certificates.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t>
        </is>
      </c>
    </row>
    <row r="61">
      <c r="A61" s="14" t="inlineStr">
        <is>
          <t>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t>
        </is>
      </c>
    </row>
    <row r="62">
      <c r="A62" s="14" t="inlineStr">
        <is>
          <t>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21918331 Privacy Policy &amp;nbsp;&amp;nbsp; Terms &amp; Conditions &amp;nbsp;&amp;nbsp;&amp;nbsp; Sitemap Donate Now</t>
        </is>
      </c>
    </row>
    <row r="63">
      <c r="A63" s="14">
        <f>==== PAGE: https://savethechildren.in/education =====</f>
        <v/>
      </c>
    </row>
    <row r="64">
      <c r="A64" s="14" t="inlineStr">
        <is>
          <t>--&gt; --&gt; --&gt; Donate Money for Child Education Online in India | Education NGO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Education Education education DONATE MONEY FOR CHILD EDUCATION: HELP BUILD A BRIGHTER FUTURE IN INDIA LET US BUILD A NATION WHERE EVERY CHILD LEARNS, THRIVES, AND LEADS THE FUTURE Millions of children in India still grow up without the chance to go to school, explore their talents, or dream of a better future. At Bal Raksha Bharat, we believe that every child deserves quality education – from their first steps to their final years in school. For over 15 years, we have helped over 2 million children learn, thrive, and stay safe. With your support , we can help thousands more build brighter futures through education. Bal Raksha Bharat builds impactful early learning programs for children from birth to age 6, helping them get ready for school and thrive. We strengthen school education for ages 8 to 18 with a focus on literacy, numeracy, and better learning outcomes. Our work also goes beyond classrooms; we keep children safe in and around schools, support learning in emergencies, and create safe learning spaces. Guided by the National Education Policy 2020 and India’s vision, we work to give every child a fair chance to learn and succeed, making India a global leader in education and knowledge. Over the years, we have developed innovative, sustainable, and scalable solutions aligned with Government of India</t>
        </is>
      </c>
    </row>
    <row r="65">
      <c r="A65" s="14" t="inlineStr">
        <is>
          <t>policies, enabling us to continue ensuring access to quality education for underprivileged children. In the last 16 years (January, 2010 – March, 2025), we have reached out to more than 2 million children. For the 2025-27 period, Bal Raksha Bharat aims to ensure that 2.5 lakhs boys and girls (0 – 18 years) from the most marginalized communities and context have access to equitable, safe and quality learning in our geographies of operation Here are our key pillars of building a solid foundation for children! EARLY CHILDHOOD CARE AND DEVELOPMENT (STRONG FOUNDATIONS FOR LIFELONG LEARNING) Bal Raksha Bharat aims to ensure that girls and boys (0-6 years old) demonstrate improved school readiness skills as a result of responsive caregiving and play based learning opportunities at home and centre. Over 80% of a child’s cumulative brain development occurs before age 6, indicating the critical importance of appropriate care and stimulation of the brain in the early years to ensure healthy brain development and growth. Strong investment in ECCD has the potential to give all young children such access, enabling them to participate and flourish in the educational system throughout their lives. Bal Raksha Bharat’s ECCD programming focuses on 1. ensuring smooth transition from Anganwadi Centres/ECCD Centres/pre-school sections to primary grades in school by enhancing school readiness among children aged 3–6 years. 2. working with Anganwadi Workers, parents/caregivers, and communities to foster holistic development at home and in centres through play-based learning and responsive caregiving. 3. child learning at centre and home, supported by contextualized training modules and activity calendars to build foundational skills in young learners. 4. 0-3 years old by engaging with caregivers on early stimulation and responsive care-giving. SCHOOL EDUCATION (SUPPORTING LEARNERS TO SHAPE THE FUTURE) Bal Raksha Bharat aims to ensure that all girls and boys (6 – 18 years old) have access</t>
        </is>
      </c>
    </row>
    <row r="66">
      <c r="A66" s="14" t="inlineStr">
        <is>
          <t>to quality and safe learning environment in schools. As per the National Education Policy 2020, the curricular and pedagogical structure of school education will be reconfigured to make it responsive and relevant to the developmental needs and interests of learners at different stages of their development, corresponding to the age ranges of 3-8, 8-11, 11-14, and 14-18 years, respectively. Working on the same, our programming for School Education emphasizes on 1. foundational literacy and numeracy in early years. 2. promoting remedial learning via Catch-up Clubs and after-school support. 3. for Grades 3 and above, we focus on 21st century skills and STEAM education through teacher training, mentorship, and real-world exposure. Inclusive and equitable education – an essential goal – is critical to achieving an inclusive and equitable society. Gender equality, improvement in WASH facilities, community engagement, climate education, innovation and low-cost EdTech solutions remain integral to our programming. We advocate for quality learning across India through strategic partnerships, coalitions and child-led campaigns. SAFE SCHOOL AND ANGANWADI CENTRES (NURTURING CHILDREN IN SAFE AND SUPPORTIVE SPACES) Bal Raksha Bharat aims to ensure “0” days loss in education for Children Bal Raksha Bharat has adopted an all-hazards approach to keep children safe in and around school from natural and everyday hazards, and violence. Bal Raksha Bharat envisions a safe, inclusive, and resilient learning environment for every child—from early years to adolescence. It addresses the full spectrum of risks that children face in and around schools by adopting a ‘whole school’ approach, engaging stakeholders across all levels of the socioecological model (children, caregivers, teachers, school management, communities, civil society, and government authorities) to make both immediate and lasting improvements for children’s safety and protection. In a world facing climate crises, disasters, and</t>
        </is>
      </c>
    </row>
    <row r="67">
      <c r="A67" s="14" t="inlineStr">
        <is>
          <t>growing inequalities, our Safe Schools and Anganwadi Centres approach integrates: 1. Education in Emergencies (EiE). 2. Peace Education (Schools as Zone of Peace) 3. Comprehensive School Safety (CSS) We focus on capacity building, risk assessments, and tech-enabled safety audits to ensure learning continuity during crises. Road safety education is embedded to empower children and communities with safe commuting practices. India has continued to make notable progress in education since independence, though challenges remain. The Periodic Labour Force Survey (PLFS) 2023-24 estimates the national literacy rate for persons aged seven years and above at 80.9%, reflecting steady improvement but also highlighting persistent gender and rural-urban gaps. According to UDISE+ (United Information System for Education Plus)2023-24 , the school education system in India currently caters to nearly 24.80 crore students across 14.72 lakh schools with about 98 lakh teachers. While these numbers reflect the vast scale of the system, total enrolment has slightly declined from 25.18 crore in 2022-23 to 24.80 crore in 2023-24, indicating the need to focus on retention. Dropout rates remain a concern, with 1.5% of children leaving school at the primary level, rising significantly to 12.4% at the secondary level . Encouragingly, progress has been made in gender equity: the Gender Parity Index (GPI) stands at 1.03 at the elementary level and 1.01 at the secondary level, suggesting near parity in school participation between boys and girls. Together, these trends underscore both India’s achievements and the critical areas requiring sustained attention—particularly reducing dropouts at higher levels and bridging learning gaps to ensure equitable, quality education for all. HOW WE HELP INDIA&amp;#8217;S CHILDREN LEARN BETTER Slide 5 SCHOOL READINESS Builds essential skills for a smooth transition into formal schooling. Slide 5 Learning Environment Nurtures curiosity and confidence, enabling</t>
        </is>
      </c>
    </row>
    <row r="68">
      <c r="A68" s="14" t="inlineStr">
        <is>
          <t>children to thrive. Slide 5 REMEDIAL SUPPORT Helps children overcome learning gaps and keep pace with peers. Slide 5 Safe Environment Provides security and trust, allowing children to focus fully on learning. Slide 5 STEAM LABS Spark creativity and critical thinking through hands-on exploration. Slide 5 Girl Child Education Empowers girls with equal opportunities to learn, grow, and lead. Slide 5 ED-TECH Personalizes learning and bridges gaps with interactive digital tools. Slide 5 Education in Emergency Ensures continuity so no child falls behind due to disruptions. Slide 5 TEACHER PROFESSIONAL DEVELOPMENT Enhances teaching quality, directly improving children’s learning outcomes. Slide 5 GREEN SCHOOL Connects learning with sustainability, instilling responsibility towards the planet. Slide 5 SAFE HYGIENE PRACTICES Promotes health and attendance, enabling consistent learning. OUR ACHIEVEMENTS 2009-18 Facilitated formation of the Right to Education (RtE) Forum Developed minimum standards for quality education for the government of Andhra Pradesh Supported the National Commission for Protection of Child Rights (NCPCR) in assessing safety mechanisms in schools in Delhi Bal Raksha Bharat joins the National Council for Educational Research and Training (NCERT) Committee on Early Childhood Care and Education (ECCE) as a member Our Open Educational Resources (OERs), developed in partnership with Open University on &amp;#8216;teachers to teach better&amp;#8217; is recognised by seven state governments of Karnataka, West Bengal, Uttar Pradesh, Assam, Odisha, Madhya Pradesh, Bihar and featured on their websites Rajasthan government adopts the Jaipur Declaration for safe schools Government of Telangana adopted School Safety Model Code of Conduct 2019 Partnering with CARE and UNICEF Towards a 21st Century Skills Framework for GenU Our work on school readiness led to the signing of the &amp;#8216;Statement of Intent&amp;#8217; with NITI Aayog to work on ECCE in five aspirational districts Our</t>
        </is>
      </c>
    </row>
    <row r="69">
      <c r="A69" s="14" t="inlineStr">
        <is>
          <t>work and related evidence on school readiness influenced and informed the New Education Policy 2020 Policy brief on &amp;#8216;Humanitarian Crisis and Early Childhood Development: Towards a Comprehensive Approach&amp;#8217;, prepared and shared with parliamentarians and National Disaster Management Authority &amp;#8220;Safe School Policy&amp;#8221; drafted by SCPCR, West Bengal was supported by Bal Raksha Bharat as one of the members. The policy has been handed over by SCPCR to the state Government 2020 We were a part of consultation &amp;amp; input team for The National Education Policy released in 2020 Released Gulmohar (a digital curriculum to encourage home learning environment and the Standard Guidelines for COVID-19 resilient ICDS Centres) in collaboration with Women and Child Development Department, Karnataka 2021 35,000 children reached in Bihar, Karnataka, Odisha, Delhi, West Bengal, and Jharkhand through Gulmohar learning modules. Over 35,000 Self Learning Kits for learning continuity shared in West Bengal, Delhi, Rajasthan, Maharashtra, UP and Odisha. Over the years 120+ ECCE professionals were trained under Bal Raksha Bharat&amp;#8217;s institutional partnership with Jamia Millia Islamia University 2022 Memorandum of Understanding for Learning Improvement Programme in Andhra Pradesh Comprehensive School Safety Curriculum (CSS) designed for all schools in Tamil Nadu which will benefit over 42,575 schools, 3.05 lakh Teachers and 69.37 lakh Peace Education e-learning module developed for all government teachers in Jammu &amp;amp; Kashmir Commissioned a first of its kind study, ‘Cost of Universalising ECE in India&amp;#8217; with CBGA to undertake the first-ever attempt to estimate the cost of universalization of ECE services in India for children in the 3–6 years’ age group. 2023 Module and SOP’s developed on Peace Education for Children Groups, Mid-Level Managers and Community members in partnership with Dept. of School Education Ladakh, School Education Department – Govt. of Jammu and</t>
        </is>
      </c>
    </row>
    <row r="70">
      <c r="A70" s="14" t="inlineStr">
        <is>
          <t>Kashmir and HCL Foundation. 2024 Developed bi-lingual dictionary for children (Class 1-5 &amp;amp; 6-8) in collaboration with SCERT and Sarva Shiksha Mission, Karnataka. This dictionary has provided a provision for identifying key/critical words keeping the view of the child centric learning by the student from all the subjects for better learning at their schooling. Bal Raksha Bharat (BRB) awarded as Best NGO of the Year in the Education Sector at the 12th Edition CSR Summit &amp;amp; Awards 2024, organized by UBS Forums Pvt. Ltd. 2025 Through our committed advocacy efforts, Peace Education has been integrated into the Grade 11th and 12th Education curriculum in Jammu and Kashmir. Facilitated formation of the Right to Education (RtE) Forum Developed minimum standards for quality education for the government of Andhra Pradesh Supported the National Commission for Protection of Child Rights (NCPCR) in assessing safety mechanisms in schools in Delhi Bal Raksha Bharat joins the National Council for Educational Research and Training (NCERT) Committee on Early Childhood Care and Education (ECCE) as a member Our Open Educational Resources (OERs), developed in partnership with Open University on &amp;#8216;teachers to teach better&amp;#8217; is recognised by seven state governments of Karnataka, West Bengal, Uttar Pradesh, Assam, Odisha, Madhya Pradesh, Bihar and featured on their websites Rajasthan government adopts the Jaipur Declaration for safe schools Government of Telangana adopted School Safety Model Code of Conduct Partnering with CARE and UNICEF Towards a 21st Century Skills Framework for GenU Our work on school readiness led to the signing of the &amp;#8216;Statement of Intent&amp;#8217; with NITI Aayog to work on ECCE in five aspirational districts Our work and related evidence on school readiness influenced and informed the New Education Policy 2020 Policy brief on &amp;#8216;Humanitarian Crisis and Early Childhood Development: Towards a Comprehensive Approach&amp;#8217;, prepared and shared</t>
        </is>
      </c>
    </row>
    <row r="71">
      <c r="A71" s="14" t="inlineStr">
        <is>
          <t>with parliamentarians and National Disaster Management Authority &amp;#8220;Safe School Policy&amp;#8221; drafted by SCPCR, West Bengal was supported by Bal Raksha Bharat as one of the members. The policy has been handed over by SCPCR to the state Government We were a part of consultation &amp;amp; input team for The National Education Policy released in 2020 Released Gulmohar (a digital curriculum to encourage home learning environment and the Standard Guidelines for COVID-19 resilient ICDS Centres) in collaboration with Women and Child Development Department, Karnataka 35,000 children reached in Bihar, Karnataka, Odisha, Delhi, West Bengal, and Jharkhand through Gulmohar learning modules. Over 35,000 Self Learning Kits for learning continuity shared in West Bengal, Delhi, Rajasthan, Maharashtra, UP and Odisha. Over the years 120+ ECCE professionals were trained under Bal Raksha Bharat&amp;#8217;s institutional partnership with Jamia Millia Islamia University Memorandum of Understanding for Learning Improvement Programme in Andhra Pradesh Comprehensive School Safety Curriculum (CSS) designed for all schools in Tamil Nadu which will benefit over 42,575 schools, 3.05 lakh Teachers and 69.37 lakh Peace Education e-learning module developed for all government teachers in Jammu &amp;amp; Kashmir Commissioned a first of its kind study, ‘Cost of Universalising ECE in India&amp;#8217; with CBGA to undertake the first-ever attempt to estimate the cost of universalization of ECE services in India for children in the 3–6 years’ age group. Module and SOP’s developed on Peace Education for Children Groups, Mid-Level Managers and Community members in partnership with Dept. of School Education Ladakh, School Education Department – Govt. of Jammu and Kashmir and HCL Foundation. Developed bi-lingual dictionary for children (Class 1-5 &amp;amp; 6-8) in collaboration with SCERT and Sarva Shiksha Mission, Karnataka. This dictionary has provided a provision for identifying key/critical words keeping the view of</t>
        </is>
      </c>
    </row>
    <row r="72">
      <c r="A72" s="14" t="inlineStr">
        <is>
          <t>the child centric learning by the student from all the subjects for better learning at their schooling. Bal Raksha Bharat (BRB) awarded as Best NGO of the Year in the Education Sector at the 12th Edition CSR Summit &amp;amp; Awards 2024, organized by UBS Forums Pvt. Ltd. Through our committed advocacy efforts, Peace Education has been integrated into the Grade 11th and 12th Education curriculum in Jammu and Kashmir. In the last 16 years (January, 2010 – March, 2025) through the consistency of our donors&amp;#8217; support, we have reached out to more than 2 million children. We are indebted to our supporters and donors who have helped touch the lives of many. You too can make a difference. Donate now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t>
        </is>
      </c>
    </row>
    <row r="73">
      <c r="A73" s="14" t="inlineStr">
        <is>
          <t>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Sitemap Privacy Policy &amp;nbsp;&amp;nbsp;&amp;nbsp;&amp;nbsp;&amp;nbsp; --&gt; © 2026 Bal Raksha Bharat | All Rights Reserved Website Visitors: 21918379 Privacy Policy &amp;nbsp;&amp;nbsp; Terms &amp; Conditions &amp;nbsp;&amp;nbsp;&amp;nbsp; Sitemap Donate Now</t>
        </is>
      </c>
    </row>
    <row r="74">
      <c r="A74" s="14">
        <f>==== PAGE: https://savethechildren.in/health-and-nutrition =====</f>
        <v/>
      </c>
    </row>
    <row r="75">
      <c r="A75" s="14" t="inlineStr">
        <is>
          <t>--&gt; --&gt; --&gt; Child Health &amp;amp; Nutrition Programmes in India | Bal Raksha Bharat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Health and Nutrition Health and Nutrition health-and-nutrition LET US BUILD A NATION OF HEALTHY CHILDREN , TOGETHER Join our Mission to Secure Health and Nutrition for every child in India, ensuring a Brighter Future for all! Bal Raksha Bharat (globally known as Save the Children) is committed to supporting government programmes and schemes to ensure the last mile delivery of our work for children. We have strategic engagement with the Ministry of Women and Child Development, Ministry of Health and Family Welfare, NITI Aayog, State Governments, and Research and Academic Institutions such as Indian Council for Medical Research – National Institute of Nutrition (ICMR NIN),Indian Council of Medical Research and International Institute for Population Sciences (IIPS) to strengthen child health and nutrition and enhance health and nutrition programmes in hard-to-reach areas. Our Thematic Goal No child should die from preventable causes before their fifth birthday. Every child, adolescent, and mother must have equitable access to quality, gender-sensitive health, nutrition, and WASH (Water, Sanitation &amp;#038; Hygiene) services. Key Work Areas Slide 5 Maternal, New-born, Child, and Adolescent Health (MNCAH) Strengthening the continuum of care from pregnancy to adolescence. Slide 5 Nutrition Prevention and</t>
        </is>
      </c>
    </row>
    <row r="76">
      <c r="A76" s="14" t="inlineStr">
        <is>
          <t>management of malnutrition through multi-sectoral interventions, local nutritious diet promotion, and system strengthening. Slide 5 WASH Improving sanitation and hygiene access with climate-resilient, user-friendly infrastructure and behaviour change initiatives. Slide 5 Disease Prevention &amp;amp; Management Combatting pneumonia, diarrhoea, TB, and other childhood illnesses. Slide 5 Health Systems Strengthening Building capacity of frontline workers (ASHA, ANM), digital innovations, and policy advocacy for sustainable impact. Slide 5 Emergency &amp;amp; Pandemic Response Delivering health and nutrition interventions during natural disasters and health crises. Slide 5 Community Engagement &amp;amp; Behaviour Change Mobilising mothers’ groups, adolescents, and influencers to sustain positive practices. Our Approach towards making a difference At Bal Raksha Bharat, we believe that optimal use of Health, Nutrition, and WASH services is essential for the well-being of children, adolescents, pregnant women, and lactating mothers. Our ambition for 2030 is simple yet powerful: every child survives, learns, and is protected. To achieve this, we bring multi-sectoral interventions to the most disadvantaged families and communities across India. We work in close partnership with the: Ministry of Women &amp;#038; Child Development Ministry of Health &amp;#038; Family Welfare NITI Aayog State Governments Leading research institutions such as ICMR-NIN ensuring that health and nutrition programmes reach hard-to-reach areas. How We Create Impact We address the root causes of poor health and undernutrition by strengthening: Access to clean water and sanitation Adoption of safe hygiene practices Promotion of adequate dietary intake Prevention and management of childhood infections As a multi-thematic organisation, we adopt integrated, evidence-based approaches that connect health and nutrition with education, WASH, social protection, and livelihoods. Our efforts also support flagship government</t>
        </is>
      </c>
    </row>
    <row r="77">
      <c r="A77" s="14" t="inlineStr">
        <is>
          <t>programmes such as Anemia Mukt Bharat, Poshan Abhiyaan, Mission Saksham Anganwadi,SAANs Campaign, National Program on climate change human health and the Eat Right Campaign, expanding their reach and impact with a strong focus on child nutrition. How BRB translates it’s mission into Actions: Life-Cycle Interventions: Supporting children and mothers from the first 1,000 days to adolescence to ensure survival, growth, and holistic development. Tackling Undernutrition: Promoting locally available, climate-smart diets and diverse food options for children, adolescents, and mothers. Maternal &amp;#038; Child Health Innovations: Leveraging telemedicine, Health ATMs, drones, and digital health tools to expand equitable access. WASH &amp;#038; Climate Resilience: Building climate-ready health and nutrition infrastructure, introducing water-saving practices, and promoting adaptive hygiene solutions. Improving Nutritional Security: Strengthening infant and young child feeding practices and reinforcing ICDS services. Supporting Children with TB: Providing nutritional care to aid recovery and creating a supportive ecosystem for paediatric TB management. Comprehensive Primary Healthcare: Delivering inclusive services that address the needs of all, regardless of age, gender, ethnicity, religion, sexual orientation, or socio-economic status. Strengthening outreach health services through Mobile health Units. Through the support of our donors, we can plan and implement robust public health projects and reach more children in need. Salient aspects of our work in the area of Child Health and Nutrition We have provided technical assistance for the SAANS campaign (Social Awareness and Action to Neutralize Pneumonia Successfully) since 2019. We have supported the social media campaign for ‘SAANS’ and successfully achieved 52.1 million digital footprints around messaging and awareness of childhood pneumonia. Between 2019 and 2021, BRB implemented programs to prevent and manage childhood</t>
        </is>
      </c>
    </row>
    <row r="78">
      <c r="A78" s="14" t="inlineStr">
        <is>
          <t>pneumonia across two states (UP and Rajasthan), which directly benefited 1,12,908 children (0-5 years of age) on Protect, Prevent and Treat interventions and successfully reduced ARI Prevalence by 63% in the intervention areas. In partnership with the International Institute of Population Science (IIPS), BRB studied Childhood Pneumonia and its associated factors in India. The report, unveiled by the Deputy Commissioner of MoHFW in December 2022, presented crucial findings and policy suggestions for tackling the multifaceted issue of childhood pneumonia, the biggest killer of children under five. With support from WHO, we have imparted four regional Training of Trainers (ToT) on the revised IMNCI implementation framework through which all the master trainers across India got sensitised. We played lead role in the formation of the Government of India-led RMNCH+A Coalition in 2012. Ministry of Health &amp;#038; Family Welfare introduced the India Newborn Action Plan (INAP). BRB actively contributed to the development of INAP, and the Ministry of Health &amp;#038; Family Welfare expressed gratitude for our technical assistance. In 2014, the Ministry of Health &amp;#038; Family Welfare developed and launched ‘National Guidelines on Kangaroo Mother Care and optimal Feeding for Low Birth Weight Infants’. BRB has contributed to the development of the national guidelines and is acknowledged and appreciated by MoHFW. In 2024, Directorate of health services in Kashmir organized STATE TOT for medical doctors from all the district of Kashmir division on pneumonia management with the lead support of BRB as technical Partner. We implemented a four-year multi-state program called “Stop Diarrhea Initiative”, which concluded in 2012 and showed a 62% reduction in diarrheal deaths of children under five across 4 states. Many of the successful innovations have been adopted across states post-2019. Our sustained evidence- based advocacy contributed to the WHO’s global guidance on co-packaging of ORS</t>
        </is>
      </c>
    </row>
    <row r="79">
      <c r="A79" s="14" t="inlineStr">
        <is>
          <t>and Zinc. Our SBCC Hand Hygiene Program reached 55 Million through Mass Media and 37 Million through Digital Campaigns. More than 7,000 teachers and 5,400 Frontline Workers were trained in Hand Hygiene across four states. We supported 678 hospitals and health facilities, developed 31 COVID care units in public health facilities, and 13 pediatric COVID care units. Bal Raksha Bharat conducted a study in Jharkhand on food accessibility and promoting local nutritious diets, namely the ‘Cost of the Diet’ study, which was successfully disseminated by the NITI Aayog in September 2020. The modelling and recommendations from the study show how the suggested interventions can reduce the affordability gap by 33% in rural poor households in Jharkhand. During Rashtriya POSHAN Maah, Bal Raksha Bharat actively promoted nutrition literacy and enhanced ICDS efforts up to the last mile. During POSHAN Maah 2020, 2021 and 2022, the total number of participants reached with nutrition messaging and targeted counselling was around 18,038; 27,627; and 19,822, respectively, across 15 intervention States and UTs. Signed a MoU with Govt of Haryana and provided technical assistance for the rollout of MNCH module and prevention of childhood malnutrition. BRB trained 500 ASHAs on MNCH services through modules 6 and 7 and capacitated around 700 AWCs on MIYCN and growth monitoring. Bal Raksha Bharat’s Engagement with Government: Highlights Bal Raksha Bharat has collaborated with the Union Ministry of Health &amp;#038; Family Welfare to support the SAANS campaign at national and state level to combat childhood pneumonia. Bal Raksha Bharat has collaborated with NITI Aayog in strengthening nutrition programmes across three Aspirational Districts of Jharkhand and Bihar. Bal Raksha Bharat worked as a core member of NITI Aayog’s committee on Integrated Development for children in the age group of 3-6 years, along with World Bank UNICEF BVRLF Alliance for Right to ECD. We forged strategic partnership as a</t>
        </is>
      </c>
    </row>
    <row r="80">
      <c r="A80" s="14" t="inlineStr">
        <is>
          <t>Steering Committee member for State of Delhi under Mission Poshan 2.0, taking forward the agenda of undernutrition to build a heathy state. Bal Raksha Bharat and South Delhi Municipal Corporation (SDMC) joined hands to strengthen maternal, newborn and child health services at Mata Gujri hospital in West Delhi. Worked closely with States and Districts to support the national delivery of COVID-19 vaccines in line with the national guidelines and roadmap. Partnered with the Union Ministry of Health &amp;#038; Family Welfare as a NIKSHAY MITRA under the ‘Pradhan Mantri TB Mukt Bharat Abhiyaan’ to provide support to Persons with TB undergoing treatment with a commitment to eliminate TB from India. Bal Raksha Bharat, in collaboration with FSSAI and the education department, has achieved significant milestones over the last three years, enhancing nutrition awareness and hygiene practices across schools under Eat Right movement in State of Madhya Pradesh, Maharashtra, Delhi, Tamil Nadu, Kashmir, Himachal Pradesh and Haryana.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t>
        </is>
      </c>
    </row>
    <row r="81">
      <c r="A81" s="14" t="inlineStr">
        <is>
          <t>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 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t>
        </is>
      </c>
    </row>
    <row r="82">
      <c r="A82" s="14" t="inlineStr">
        <is>
          <t>&amp;nbsp;&amp;nbsp; Terms &amp; Conditions &amp;nbsp;&amp;nbsp;&amp;nbsp; Sitemap Privacy Policy &amp;nbsp;&amp;nbsp;&amp;nbsp;&amp;nbsp;&amp;nbsp; --&gt; © 2026 Bal Raksha Bharat | All Rights Reserved Website Visitors: 21918571 Privacy Policy &amp;nbsp;&amp;nbsp; Terms &amp; Conditions &amp;nbsp;&amp;nbsp;&amp;nbsp; Sitemap Donate Now</t>
        </is>
      </c>
    </row>
    <row r="83">
      <c r="A83" s="14">
        <f>==== PAGE: https://savethechildren.in/child-protection =====</f>
        <v/>
      </c>
    </row>
    <row r="84">
      <c r="A84" s="14" t="inlineStr">
        <is>
          <t>--&gt; --&gt; --&gt; Support Child Protection &amp;amp; Rights in India | Bal Raksha Bharat Donate --&gt; Donate Now About Us Overview Mission &amp;#038; Vision Governing Council Our Team Award and Recognition Certificates Financials What we do Our Strategy Our Presence Education Health and Nutrition Economic well being Child Protection Humanitarian Resilience Partnership Corporate Partnership Institutional Partnership Engagement with Government Get Involved Volunteer Ways to Help High Value Gifting Child Safeguarding Contact Us Careers Our Donor Wall Resources Latest Blog Resource centre Raksha Journal Press Coverage News Annual Reports Other Reports FAQs Donate --&gt; Donate Now --&gt; Child Protection Child Protection child-protection COME PROTECT THE VULNERABLE CHILDREN IN INDIA LET’S BUILD A SAFE AND SECURE NATION FOR CHILDREN, TOGETHER Bal Raksha Bharat (also known as Save the Children) is a known champion of child protection in India. Over the years, Bal Raksha Bharat has implemented a number of projects tackling different forms of abuse of children: child trafficking, child marriage, child labour, sexual abuse, online abuse and exploitation. Our work in this area revolves around prevention and timely response, focusing on developing robust community led child protection systems, strengthening them at the community and building agency of children to protect them from all form of abuse and exploitation. Bal Raksha Bharat has a proven track record in India of both delivering and influencing key guidelines for effective implementation of the programmes and the legislation on Protection of Children from Sexual Offences Act (2012), Juvenile Justice Act and amendment of Child Labour (Prohibition and Regulation) Act, the Prohibition of Child Marriage act (2006) and the enhancement of child protection services to safeguard vulnerable children. INITIATIVES FOR CHILD PROTECTION IN INDIA BY BAL RAKSHA BHARAT Our Vision: End all forms of Violence, Abuse and Exploitation of Children in India</t>
        </is>
      </c>
    </row>
    <row r="85">
      <c r="A85" s="14" t="inlineStr">
        <is>
          <t>SYSTEM STRENGTHENING Engage with government duty bearers at all levels to provide hand-holding, technical support, capacity building, and tools to deliver on their mandate of protecting children. VIOLENCE FREE CHILDHOOD Work with Partner with key stakeholders to end discrimination, violence, and abuse, and promote inclusive, gender-equal, positive parenting PSYCHO SOCIAL WELLBEING Promote the psycho-social and mental health of children and families to cope with stress, trauma, or sudden shocks caused by exclusion, violence, abuse, or disasters. ELIMINATE HARMFUL LABOUR Engage with business houses, build accountable and efficient monitoring mechanisms to prevent, respond to, and rehabilitate children engaged in harmful labour or processes. 1.1 Coverage 30,250 children were protected from various form of harm in 2024-25 We have specific programme interventions on child protection in 11 states reaching out to around three million children. Key Child Protection Services Bal Raksha Bharat’s core areas of work under Child Protection in India include interventions around Children in Street Situations, Community led Child Protection System Strengthening, workforce development through a competency-based training at the local and sub-national levels, ending abuse and exploitation of children, promoting gender equality, child protection in emergency, promoting psychosocial well-being through mental health and psychosocial support, online safety of children, and capacity building of stakeholders and promoting child friendly guidelines for protection of children from all form of abuse and exploitation. Initiatives on Children in Street Situations (CISS) To Support Child Protection Our interventions for CISS are aimed at generating evidence towards the magnitude of the problems, root cause analysis and finding suitable solutions to address the issue holistically. As a leading child protection organisation, we have been working to improve the lives of children in street situations</t>
        </is>
      </c>
    </row>
    <row r="86">
      <c r="A86" s="14" t="inlineStr">
        <is>
          <t>since 2009. In 2012 we came out with a publication named ‘Surviving on the Streets- one of the first census survey studies on children in street situation done by Bal Raksha Bharat. The study showed that there were about 51,000 children in street situation in Delhi alone. Subsequently, we conducted a census and survey of Children in Street Situation in five cities of India and found that there were nearly 85,000 children in the street situations without a valid identity, place of shelter, proper education, and health facilities. Another hallmark of our work in this area is the collaboratively developing with the National Commission for Protection of Child Rights (NCPCR), a Standard Operating Procedure for Care and Protection of Children in Street Situations. The SOP was officially released by the then Minister of Woman and Child development Smt. Maneka Gandhi. The SOP has been rolled out in 9 states of India with relevant stakeholders forming steering groups to monitor the implementation of the SOP. In 2020, based on our experience of implementing the Standard Operating Procedure for Care and Protection of Children in Street Situations (SOP) in several states, Bal Raksha Bharat (also known as Save the Children), in collaboration with NCPCR, revised the existing SOP to cater to the needs of Children in Street Situations through a family strengthening approach. This revision integrated key elements of child protection services to ensure comprehensive support for these vulnerable children. The Supreme Court of India took cognizance of the SOP 2.0 and directed states to ensure its effective implementation. Bal Raksha Bharat runs various Multi Activity Centre an innovative centre based approach to educate and protect children from street situation in India. Your donation for NGO efforts can help further this mission and provide vital resources for these initiatives. Strengthening Child Protection in India In 2013 when the ambitious Integrated Child Protection Scheme</t>
        </is>
      </c>
    </row>
    <row r="87">
      <c r="A87" s="14" t="inlineStr">
        <is>
          <t>(ICPS) programme was rolled out across the states, Bharat Raksha Bharat supported Women and Child Development Departments to capacitate the newly inducted staff who were from different backgrounds. With this aim, a Competency Based Training (CBT) programme was launched for training of District level functionaries of ICPS. Child Protection Services provided by the cadre included awareness generation, psycho-social counseling, access to education/health services, referral to institutional care and facilitating linkages with government sponsored social protection schemes. The initiative, appreciated and acknowledged by government duty-bearers, improved response time for addressing concerns, boosted community cohesiveness, provided employment opportunities for women, and promoted child-friendly and gender-sensitive practices while addressing protection risks. Additionally, the initiative emphasized the welfare of children and family, ensuring that every child is right to safe, continuing education, and their well-being is upheld and protected. This initiative also helped in leveraging the government social security schemes to the entitled family. Enabling Online Safety of Children Online child safety has garnered due attention in recent years with increasing access to the Internet, especially in the post-pandemic era. Efforts by the Indian Government to ensure online child safety have been commendable. Bal Raksha Bharat, a leading child protection NGO, has been implementing a project since 2021 to support the ongoing work of the government on online safety for children in Maharashtra and Tamil Nadu. The project has been implemented jointly in collaboration and consultation with the state government and select NGOs and private organisations working on the issue of cybersecurity. As part of the intervention, 586 teachers and more than 10,000 children are trained on how to be safe when online. Addressing harmful Child Labour We are implementing a project, ‘Work: No Child’s</t>
        </is>
      </c>
    </row>
    <row r="88">
      <c r="A88" s="14" t="inlineStr">
        <is>
          <t>Business’ in the states of Bihar, Delhi, and Rajasthan since June 2019 to support the ongoing work of the Government to address the issue of child labour. This initiative is focusing on safeguarding vulnerable children from economic exploitation and abuse. In Delhi, we worked with children in the garment industry in two districts, namely; East and South East Delhi. In Bihar, we worked with children engaged in domestic work, agricultural labour, and other forms of work in six districts: Araria, Gaya, East Champaran, Kishanganj, Nalanda, and Sitamarhi. As part of this initiative, we have empowered Children to pursue quality education and (future) employability within a supportive family and community environment; it Increased enrolment and retention in quality formal education or, if relevant, bridge schooling, and improved access to youth employment. We also encourage initiatives like donation for education to support these efforts. Additionally, we are collaborating with Government to support in enforcing relevant laws and implement programs on child labour, education, youth economic empowerment, and social security. Through the initiative, 3318 children (6-14 years) have been enrolled in formal schools, 407 youth and adults in the age group of 18-24 years have been enrolled for various vocational training courses like Beauty and Wellness, Retail and Sales, Hospitality, General Duty Assistant, Digital Marketing, Assistant Electrician, Hospital Front Desk Executive and Food and Beverages. We also strengthened the capacities of Child Protection Committees, in close collaboration with the District Child Protection Units (DCPU) in the two intervention states of Delhi and Bihar. These capacity augmentation programmes are aimed at ensuring the communities to discuss and take-up issues related to child protection in their areas. In 2021, we collaborated with the Department of Labour, Government of Rajasthan for a joint collaborative campaign on anti-child labour. This</t>
        </is>
      </c>
    </row>
    <row r="89">
      <c r="A89" s="14" t="inlineStr">
        <is>
          <t>joint collaborative campaign had series of activities like 42 days anti-Child labour campaign, releasing of anti-Child labour song and child labour research report, street play on anti-Child labour, installation of hoardings on anti- child labour, and initiatives focused on the prevention of child labour to create awareness and drive meaningful change. Interventions to Fight Child Marriage and Strengthen Child Protection The National Plan of Action, 2016 by the Ministry of Women &amp;amp; Child Development seeks to end child marriage. Furthering the Ministry’s mission and vision, we, as a child protection NGO, implemented a programme, ‘Marriage: No Child’s Play’ from 2016 to 2020 in the state of Rajasthan. This programme was implemented through an MoU with the Directorate of Women Empowerment, Women and Child Development Department, Government of Rajasthan. We collaborated with the Government of Rajasthan to extend technical support for the development of the State Strategy and Action Plan on Child Marriage and support its implementation in 45 villages of two districts (Tonk and Jodhpur). Through this initiative, we reached 5,864 adolescent girls, helping curb the incidence of child marriage. Numerous villages in the intervention areas were declared child marriage-free. This led to the replication of the project in two other districts of the state: Banswara and Dungrapur. This effort is for ensuring the protection and empowerment of vulnerable children, especially girls, from harmful practices such as child marriage. Promoting Psycho-Social Wellbeing of Children Through Child Protection Services The Covid-19 pandemic resulted in heightened exposure of children to risks including neglect, abandonment, violence, and exploitation. Bal Raksha Bharat has been working on safeguarding the physical and emotional well-being of children through Risk Communication and Community Engagement, contributing to child protection in India. Child-friendly materials/resources were developed</t>
        </is>
      </c>
    </row>
    <row r="90">
      <c r="A90" s="14" t="inlineStr">
        <is>
          <t>and disseminated through audio-visual, mass media (radio/cable TV), and traditional paper-based media. We also set up (tele) counselling services with the support of trained/professional counsellors to capacitate the protection workforce to provide Psychosocial First Aid at the community level and promote child protection. Additionally, we linked children and young people reporting mental health issues to helplines, specialized institutes, and/or other referral services. United Nations Convention on the CHILD WELFARE IN INDIA The genesis of Child Welfare was a document drafted by Eglantyne Jebb, founder of Save the Children, in 1923. The ‘Declaration of the Rights of the Child’ serves as a pre-cursor to the globally ratified United Nations Convention on the Rights of the Child (UNCRC). WHAT ARE The United Nations Convention on the Rights of the Child (UNCRC)? The United Nations Convention on the Rights of the Child (UNCRC) is a guiding document for welfare of children across the world. India also raitified UNCRC in 1992. The UNCRC defines the minimum entitlements and freedoms that should be accorded to every human being below the age of 18 regardless of race, national origin, colour, gender, language, religion, opinions, origin, wealth, birth status, disability, or other characteristics. CHILD WELFARE AND BAL RAKSHA BHARAT We are aware that many children, in India, are not able to access their entitlement . Formally established in India in 2004 as Bal Raksha Bharat, Bal Raksha Bharat has imbibed children’s welfare at the core of its programmes, activities, and day-to-day work, thus becoming India’s leading independent child welfare organisation. Bal Raksha Bharat helps children exercise their entitlements; we anchor our programmes, coordination , research and action for the welfare of vulnerable children in India. Child Champions Children were, are, and will remain at the core of what we do. We will do whatever it takes to ensure that they survive, learn, and</t>
        </is>
      </c>
    </row>
    <row r="91">
      <c r="A91" s="14" t="inlineStr">
        <is>
          <t>thrive. We, at Bal Raksha Bharat, deeply believe that all children are aware of their needs and have the ability to participate in decision making, and even emerge as community leaders. This belief has led us to train and engage young leaders as ‘Child Champions’ to become flag bearers of change in their communities Your support through online donation helps us empower these young leaders to create a lasting impact in their communities. From breaking the taboos around menstrual hygiene, promoting education for all to ending child marriage, from rapping about social issues to meeting national leaders and demanding action, Child Champions have covered a whole spectrum of issues that impact children and young people, including putting forward their demands for child protection to ensure their safety and welfare are upheld. AMPLIFYING VOICES OF CHILDREN AND YOUNG LEADERS Anju Rani An Ashoka Youth Venturer Spoke at TEDx Pune about her venture UNV award 2018 Salman Addressed various forums including the Global Citizen Festival India, highlighting issued faced by children Uses street theatre in slums for mobilisationon concerns of street children Saleha Nominee of the international children&amp;#8217;s Peace Prize Winner of the Savitri Bai Phule Award Conducted 250 sessions on Menstrual Hygiene and Wash Goalkeeper 2018 Nisha Addressed India Action 2015: Light the Way event at Purana Quila to Promote the Global Development Goals. Advocated for Educating girls and equlity at Every Last Child #TheInvisibles Dialogue at the Global Fundraising Forum Tanuja Khatun Awarded by thee Government of West Bengal for her bravery and contribution to girls&amp;#8217; empowerment Addressed press meets on the occasion of World Day Against Trafficking in Persons Prevented 32 girls and women from being trafficked, faciliated the reunification of 15 trafficked girls and prevented seven early marriages Anoyara Khatun Represent India twiceat UNGA Youngest recipient of the Nari Shakti Award Sponsored</t>
        </is>
      </c>
    </row>
    <row r="92">
      <c r="A92" s="14" t="inlineStr">
        <is>
          <t>youth delegateat the World Youth Forum to speak during a sessionon Women&amp;#8217;s EMpowerment Anoyara&amp;#8217;s story inspired a filmmaker to capture her journey in a film and inspire many others like her. Bal Raksha Bharat will be the thought partner for the film OUR APPROACH &amp;amp; IMPACT Bal Raksha Bharat empowers potential changemakers to further their impact. It ensures children are aware of their wellbeing and entitlements , provided with trainings and platforms to share and express their views on issues such as food, shelter, education, sanitation, protection, urban development, prevention of child labour among others. Some of those children have gone on to be selected in leadership programmes run by partners like UNICEF’s Yuwaah, Pravah, Ashoka, Dasra etc. We have mentored 1571 child champions and created 1731 opportunities for them to speak at local, national, or global platforms since 2016. Children who lead their own micro-projects have reached over 2100 children and 14000 individuals, showcasing the transformative impact of initiatives like donation for education in empowering young minds. Partnering with Children Bal Raksha Bharat works with numerous children groups and actively engages close to 1,400 Child Champions. The Child Champion campaign uses national platforms along with awards like Nari Shakti, UNV Awards, Children Peace Prize, Ashoka Youth Venture, Women Deliver, The Goalkeepers, and UNGA among others to promote its cause. The Dream Accelarator Project With the assistance of The Dream Accelerator Project, we focus on deepening engagement with a few shortlisted children. The engagement includes training on entitlements and leadership skills as well as shortlisting innovative, independent micro-projects for children-led social change for their society, community, and nation. WE HAVE ACHIEVED CONSIDERABLE SUCCESS EVER SINCE WE EMBARKED ON THE CHILD CHAMPION JOURNEY Anoyara was awarded Nari Shakti with Prime Minister Saleha served as a Goal Keeper</t>
        </is>
      </c>
    </row>
    <row r="93">
      <c r="A93" s="14" t="inlineStr">
        <is>
          <t>with Bill and Melinda Gates Shalini was at Women Deliver with Sophie Trudeau Street Child Cricket World Cup Team at Lord’s London Manisha was present at the UN Office in New York for the Joining Forces Report Launch Support and collaboration of our partners have brought Child Champions campaign its due success. HM GSK hkl Coca Cola ikea Burger King Burger King Do your part, take a stand and show your support to the Child Champions. Encourage change by supporting this campaign. Sign up for the newsletter here: Subscribe Follow us on Follow us on About us Overview Mission &amp;#038; Vision Governing Council Our Team Award and Recognition Certificates Financials What we do? Our Strategy Our Presence Education Health and Nutrition Economic well being Child Protection Humanitarian Resilience Take Action Donate Volunteer Other Ways To Help High Value Gifting Child Safeguarding Contact Us Careers Donation Receipt Resources Latest Blog Press Coverage News Reports FAQs Webstories Social Media Popular Searches Income Tax Exemption | Education Donation | Online Donation | Corporate NGO Partnerships | Child Protection | Gender Equality | Child Welfare In India | Child Nutrition | Education NGO | child resilience program | Disaster relief organisations in India | Child Poverty | Child Champion | Daan Utsav | NGO Volunteer | Helping Poor Children | Child Participation | Child Safeguarding | Education empowers | Prevention of Child Labour | Fundamental Rights Of Children | How To Help Street Children | 80G Income Tax | Child Abuse In India | Causes of Gender Inequality | Marginalization In Education | Importance Of Girl Child Education | Help Underpriviledged Children | Child Protection Policy | RTE Act | NGO Working For Education | Role Of NGO In Education | Donations Tax Exemption | Charity Donation Tax Deduction | Section 80g Of Income Tax Act | How To Donate | Right To Education | Donate For Girl Child Education | Ways To Donate | Discrimination against women | Joy of giving |</t>
        </is>
      </c>
    </row>
    <row r="94">
      <c r="A94" s="14" t="inlineStr">
        <is>
          <t>Women entrepreneurs in India | Role of Youth in Nation Building | Why are Women Employed in Low Paid Work | No Detention Policy | CSR Fund | Stem Education in India | Disclaimer: Please note that the products mentioned are to illustrate activities and the change that your donation can make to the lives of children. Bal Raksha Bharat, based on the need on the ground, will allocate resources to areas that need funds the most. Data Security: We take utmost precautions with your data, we will never share your information. We also do not store any sensitive information like your credit card or bank details. All donations are tax-exempted under section 80G of the Income Tax Act, 1961. As per the provisions of Indian Income Tax, a donor is required to give its Full Name, Complete Address (not merely Pin Code and City) to ensure the maximum benefit to the cause by avoiding diversion of a good part of the donation towards taxes. For any person whose total contribution exceeds Rs. 50,000/- up to the end of the current financial year, the Name, Address, PAN and Aadhar (if available) of of such individuals including their relatives* (details as per attachment) are also required as per the provisions of Income Tax and may please be provided. To claim tax exemption against this donation under section 80G providing PAN is essential. © 2024 Bal Raksha Bharat | All Rights Reserved © 2024 Bal Raksha Bharat | All Rights Reserved Privacy Policy &amp;nbsp;&amp;nbsp; Terms &amp; Conditions &amp;nbsp;&amp;nbsp;&amp;nbsp; Sitem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2" t="inlineStr">
        <is>
          <t>PRIVACY POLICY TEXT: tatatrusts.org</t>
        </is>
      </c>
    </row>
    <row r="2">
      <c r="A2" s="13" t="inlineStr">
        <is>
          <t>(read this to grade the 'tatatrusts.org' rows on the Labels sheet)</t>
        </is>
      </c>
    </row>
    <row r="4">
      <c r="A4" s="14">
        <f>==== PAGE: https://tatatrusts.org/privacy-policy =====</f>
        <v/>
      </c>
    </row>
    <row r="5">
      <c r="A5" s="14" t="inlineStr">
        <is>
          <t>Privacy policy - Tata Trusts X Home Privacy policy Share Privacy policy Tata Trusts are one of the oldest non-sectarian philanthropic organisations, internationally recognised for its noble work which spans more than a hundred years.&amp;nbsp; The Tata Trusts&amp;rsquo; core imperative is to drive sustainable social development and power change, through Tata Trusts&amp;rsquo; multi-sectoral work across the nation. Sir Ratan Tata Trust is a public charitable trust registered under the Maharashtra Public Trusts Act, 1950, and is an integral constituent of &amp;lsquo;Tata Trusts&amp;rsquo;. Sir Ratan Tata Trust is hereinafter referred to as &amp;ldquo; SRTT &amp;rdquo;, &amp;ldquo; We &amp;rdquo;, &amp;ldquo; Us &amp;rdquo;). SRTT anchors and operates the website ( www.tatatrusts.org ) to showcase the details of projects of Tata Trusts across several themes and focus areas (&amp;ldquo; the Website &amp;rdquo;).&amp;nbsp; This document outlines SRTT&amp;rsquo;s approach towards data protection and privacy vis a vis the website ( www.tatatrusts.org ) (the &amp;ldquo; Privacy Policy &amp;rdquo;) in order to fulfil its obligations under the Information Technology (Reasonable Security Practices and Procedures and Sensitive Personal Data or Information) Rules 2011 (&amp;ldquo; SPDI Rules &amp;rdquo;) prescribed thereunder. By way of this Privacy Policy, we want our users (&amp;ldquo; You ,&amp;rdquo; &amp;ldquo; Your ,&amp;rdquo; and/or &amp;ldquo; User &amp;rdquo;) to know the nature of personal information collected from the Users and how Your personal information is collected, used, processed, stored, shared, disclosed or transferred by Us. Please read the Privacy Policy carefully, and by visiting or using the Website, any other linked pages, features, content, and any other content. We offer from time to time in connection with any of the foregoing, You agree to the practices and policies set forth in this Privacy Policy, and You hereby acknowledge and expressly consent to our collection, use, processing, storing, disclosure and/ or transfer of Your information as</t>
        </is>
      </c>
    </row>
    <row r="6">
      <c r="A6" s="14" t="inlineStr">
        <is>
          <t>described hereunder. In this Privacy Policy, We set out the types of information that we may collect, the purpose of collection of the information, how We collect, use, disclose, transfer, and store Your information, so that you can make an informed decision in relation to the sharing of Your personal information with us. By using Our Website, or by giving us your personal data/information when registering with Us or subscribing to the newsletters or filling in various forms available on the Website. You accept the collection and processing of Your personal data as described in this Privacy Policy. If You do not agree with the terms of this Privacy Policy, You may choose not to provide Us Your personal data/information but may continue to navigate our Website in a limited manner. Please note that this Privacy Policy does not apply to websites maintained and/or operated by other companies or organizations with which We partner with and/ or provide a link of the same on our Website, and We are not responsible for any personal information You submit to third parties via their website. Please ensure that You read the privacy policy of such third parties before submitting Your details. 1. Information Collected: &amp;nbsp; 1.1&amp;nbsp; We gather various types of personal information from our Users, as explained below. We may use this information, among other things, to personalize and improve our Website, allow our Users to register for newsletter, updates on our work through emails, send e-invite to events (online/offline) curated by the Tata Trusts and its partners, provide for access to information relating to our projects and initiatives, analyse how Users utilize our Website or as otherwise specifically set forth in this Privacy Policy. We will take reasonable steps to accurately record the personal information that You provide to Us and any subsequent updates. We may share, disclose and/ or transfer certain types of information collected with other Tata Trusts and/ or</t>
        </is>
      </c>
    </row>
    <row r="7">
      <c r="A7" s="14" t="inlineStr">
        <is>
          <t>third parties. We collect the following types of personal information: 1.1.1 Information provided by You: We shall receive, store, and process the personal information You knowingly and willingly provide to Us. We may collect information such as Name, email ID, Country, State, City, Occupation, etc., from Users who are visitors on the Website, interested in navigating the Website and/ or downloading reports/ films and other knowledge assets from the Website. In our User registration form and other forms available on the Website, we indicate which fields are mandatory and others which are optional. You always have the option to not provide information however, by choosing the option of not providing information for some fields, You may not be able to register on our Website and/or obtain access to the respective activity/function for which the said form was required to be filled. We may use the fact that you have contributed to or inquired about a certain initiative or project, for instance, to send You communication such as newsletters, event invites, etc. for Tata Trusts that promotes the initiatives/related initiatives and information. 1.1.2 Information and technical data collected automatically: When You visit the Website, our web server may automatically record details about Your visit, such as Your IP address, location, internet service provider, network carrier (in case of access from a cellular device), portal usage details, pages viewed, duration of Your visit, URL, cookies etc. 1.2 &amp;nbsp;You acknowledge and agree that if You provide any information that is untrue, inaccurate, not current or incomplete (or becomes untrue, inaccurate, not current or incomplete over a period of time), or We have reasonable grounds to suspect that such information is untrue, inaccurate, not current or incomplete, we may not be able to provide You with continued access to our Website. Your information collected and access to our Website is subject to other terms mentioned on our</t>
        </is>
      </c>
    </row>
    <row r="8">
      <c r="A8" s="14" t="inlineStr">
        <is>
          <t>Website, and you are advised to read the same carefully in conjunction with this Privacy Policy. 2. Cookie Policy 2.1 We or our third party service providers may use cookies to collect and store information with respect to Your use of Our Website. This information is collected automatically when You navigate Our Website. A cookie is a small text file that is stored on Your computer that enables Us to recognize You, (for example, as a registered User, projects viewed previously, your content preferences etc.) when You visited Our portal, store Your preferences and settings, enhance Your experience by delivering content and advertising specific to Your interests, perform research and analytics, track Your use of Our Website, and assist with security and administrative functions as well as monitor your navigation and search patterns on Our Website. 2.2 Users have the option to accept or disable cookies at any time through their browsers however this may affect the functioning of our Website in their browsers. 3. Purpose of collecting your information: 3.1 We collect your information to operate, provide, develop, and improve the initiatives available on our Website and provide functionality, analyse performance, fix errors, and improve the usability, effectiveness, reach and content of Our Website. We may collect Your information for analysis by technology tools such as Google Analytics for the purpose of providing you better outreach to our projects, updates and communication.&amp;nbsp;&amp;nbsp;&amp;nbsp; 3.2 We may make use of automatically collected technical data in a combined format in order to understand how our Website is being used. We may share some of this with advertisers, sponsors, investors, strategic partners, and other third-party vendors in order to help grow our Website and projects/ initiatives. 3.3 We may use Your information to send you newsletters, promotional content, confirmations, updates, and otherwise facilitate Your use of, and our administration and</t>
        </is>
      </c>
    </row>
    <row r="9">
      <c r="A9" s="14" t="inlineStr">
        <is>
          <t>operation of, our services; for any other purpose that is communicated to you when we collect the information; 3.4 We may use Your information to analyse the Website usage, improve content and accessibility, and customize Our Websites&amp;rsquo; content, layout, and services and improve it to meet Your needs and to provide You with a smooth, efficient, safe and customized experience while using Our Website. 3.5 We may use Your information to communicate with You in relation to Your access, usage of the Website via different channels (e.g., by phone, email, WhatsApp, etc). 4. Disclosure and/ or transfer of your information with third parties: We will not share the personal data we have collected from You, except as described below: 4.1 We may share and/ or transfer your personal information with our other corporate entities or other trusts which form part of the Tata Trusts or other Tata Companies (including their employees, subcontractors, service providers, directors and officers) and/or affiliates, data analytics providers, subcontractors, agents or service providers etc. 4.2 We may disclose Your information to external law enforcement or regulatory authorities and / or government agencies, as applicable. 4.3 The disclosure of Your personal information may be required in certain instances to provide You access to our Website, to comply with our legal obligations, to facilitate our marketing and advertising activities, or to prevent, detect, mitigate, and investigate any fraudulent or illegal activities. In the foregoing circumstances We shall not be under any obligation to intimate or notify you, or to obtain Your consent, for such disclosure, sharing or transfer of your personal information. 4.4 We may disclose Your information if required to do so by law or in good faith belief that such disclosure is reasonably necessary to respond to summons, court orders, or other legal process, law enforcement authorities, Government Authorities, courts, dispute resolution</t>
        </is>
      </c>
    </row>
    <row r="10">
      <c r="A10" s="14" t="inlineStr">
        <is>
          <t>bodies, our regulators, auditors and any party appointed or requested by our regulators to carry out investigations or audits of our activities. We may also disclose Your personal information to respond to claims that an advertisement, posting or other content violates the rights of a third party, or protect the rights, property or personal safety of Our Users or the general public. In the foregoing circumstances we shall not be under any obligation to intimate or notify you, or to obtain your consent, for such disclosure, sharing or transfer of your personal information. 4.5 We may share your information with outside service providers that We use for a variety of purposes, such as to send you emails, newsletters, push notifications on our behalf. We may share Your information on a need-to-know basis with these third-party agencies only to enable them to perform their services. 4.6 If we share and/ or transfer your personal data to third parties for purposes stated in this Privacy Policy, we will use best endeavours to put in place appropriate controls and safeguards to ensure that your personal information is adequately protected and processed only for specified and reasonable purposes in a manner that is fair, transparent and has a lawful basis, and is stored for no longer than is necessary. 5. Explicit consent for collection: &amp;nbsp;&amp;nbsp; 5.1 You explicitly consent to providing and processing (inducing necessary disclosure and/ or transfer) of Your personal information, as described in this Privacy Policy once You register with the Website, opt in to receive newsletter, and /or raise enquiry and/or express interest by filling various forms on the Website. 6. Your rights as information providers 6.1 You can always elect not to disclose information to Us. However, please keep in mind that we may need some information to allow You to register with us or for You to take advantage of some or all of the features offered on Our Website, and if You choose not to provide</t>
        </is>
      </c>
    </row>
    <row r="11">
      <c r="A11" s="14" t="inlineStr">
        <is>
          <t>that information, Your ability to use our Website and services may be limited. 6.2 You have a right to request for unsubscribing to newsletter and/or deactivation of your account, and post such deactivation, Your personal information shall not be collected, processed or disclosed or transferred to a third party. However, Your personal information collected by us till the unsubscribing and/or deactivation of your account as the case may be, shall be maintained by us till such time it is necessary to achieve the purpose for which it originally collected or for such period of time as prescribed by or under applicable law. 6.3 You have the right to withdraw your consent previously given for the collection, use or processing of all and/or any part of the information collected by Us, however, please note that this may disrupt Your user experience on Our Website. You may withdraw your consent by writing to us at talktous@tatatrusts.org. &amp;nbsp;We shall discontinue processing Your information once we receive a request from you in writing, however, We have a right to retain and will not be held liable for processing any information that we collected prior to the said withdrawal request. 7. Data Security&amp;nbsp; 7.1 We take reasonable steps to ensure that appropriate physical, access control, technical and managerial safeguards are put in place to protect Your information from unauthorized access, alteration, transmission, and/or deletion. Our data collection, handling and processing practices are continually reviewed to ensure compliance with the applicable data protection and privacy laws and regulations in India. &amp;nbsp; 7.2 We agree that We will not sell or rent Your information to third parties for their marketing purposes. From time to time, We may reveal general statistical information about our Website and visitors, such as number of visitors, most popular initiative/event on the Website, etc. Only those of our employees and / or third party partner&amp;rsquo;s employees, who</t>
        </is>
      </c>
    </row>
    <row r="12">
      <c r="A12" s="14" t="inlineStr">
        <is>
          <t>need access to Your information in order to perform their duties as mentioned in the purpose section of this Privacy Policy, are allowed such access. 7.3 We assume no liability or responsibility for disclosure of Your information due to errors in transmission, unauthorized third-party access, or other causes beyond Our control. 8. Retention of Data 8.1 We will retain Your information and any data only for the period necessary to fulfil the purposes outlined in this Privacy Policy unless a longer retention period is required or permitted by Indian law. 9. Governing Law 9.1 The terms of this Privacy Policy shall be governed and construed in accordance with the laws of India. Any dispute regarding or arising out of this Privacy Policy shall be subject to the exclusive jurisdiction of the courts in Mumbai, Maharashtra, India. 10. Grievance Officer 10.1 For the purpose of grievance redressal or in the event you have any questions regarding our privacy practices or this Privacy Policy, the name and contact details of our Grievance Officer are provided below: Name: Ms. Kashmira Meherji Postal Address: World Trade Center-1, 26th floor Cuffe Parade, Mumbai 400 005, India +91 - 22 - 6665 8282 +91 - 22 - 6135 8282 Email: grievance@tatatrusts.org Real and quietly powerful stories Read more --&gt; Contact us Registered office Bombay House, 24, Homi Mody Street, Fort, Mumbai - 400 001, India +91 - 22 - 6665 8282 +91 - 22 - 6665 8013 --&gt; talktous@tatatrusts.org Administrative Office 26 th Floor, Centre 1, World Trade Centre, Cuffe Parade, Mumbai - 400 005, India +91 - 22 - 6135 8282 +91 - 22 - 6135 8369 --&gt; talktous@tatatrusts.org HORIZONS: THE TATA TRUSTS MAGAZINE Caution notice and disclaimer History Our Associate organisations Our partners &amp;copy; 2026 All Rights Reserved, Tata Trusts Legal disclaimer Privacy policy Caution notice and disclaimer --&gt; Sitemap We use cookies responsibly to improve your experience on this website. Okay 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23"/>
  <sheetViews>
    <sheetView workbookViewId="0">
      <selection activeCell="A1" sqref="A1"/>
    </sheetView>
  </sheetViews>
  <sheetFormatPr baseColWidth="8" defaultRowHeight="15"/>
  <cols>
    <col width="120" customWidth="1" min="1" max="1"/>
  </cols>
  <sheetData>
    <row r="1">
      <c r="A1" s="12" t="inlineStr">
        <is>
          <t>PRIVACY POLICY TEXT: networkintelligence.ai</t>
        </is>
      </c>
    </row>
    <row r="2">
      <c r="A2" s="13" t="inlineStr">
        <is>
          <t>(read this to grade the 'networkintelligence.ai' rows on the Labels sheet)</t>
        </is>
      </c>
    </row>
    <row r="4">
      <c r="A4" s="14">
        <f>==== PAGE: https://www.networkintelligence.ai/privacy-policy/ =====</f>
        <v/>
      </c>
    </row>
    <row r="5">
      <c r="A5" s="14" t="inlineStr">
        <is>
          <t>We value your privacy</t>
        </is>
      </c>
    </row>
    <row r="6">
      <c r="A6" s="14" t="inlineStr">
        <is>
          <t>We use cookies to enhance your browsing experience, serve personalized ads or content, and analyze our traffic. By clicking "Accept All", you consent to our use of cookies.</t>
        </is>
      </c>
    </row>
    <row r="7">
      <c r="A7" s="14" t="inlineStr">
        <is>
          <t>Customize</t>
        </is>
      </c>
    </row>
    <row r="8">
      <c r="A8" s="14" t="inlineStr">
        <is>
          <t>Reject All</t>
        </is>
      </c>
    </row>
    <row r="9">
      <c r="A9" s="14" t="inlineStr">
        <is>
          <t>Accept All</t>
        </is>
      </c>
    </row>
    <row r="10">
      <c r="A10" s="14" t="inlineStr">
        <is>
          <t>Skip to navigation</t>
        </is>
      </c>
    </row>
    <row r="11">
      <c r="A11" s="14" t="inlineStr">
        <is>
          <t>Skip to content</t>
        </is>
      </c>
    </row>
    <row r="12">
      <c r="A12" s="14" t="inlineStr">
        <is>
          <t>Practices</t>
        </is>
      </c>
    </row>
    <row r="13">
      <c r="A13" s="14" t="inlineStr">
        <is>
          <t>Services</t>
        </is>
      </c>
    </row>
    <row r="14">
      <c r="A14" s="14" t="inlineStr">
        <is>
          <t>Resources</t>
        </is>
      </c>
    </row>
    <row r="15">
      <c r="A15" s="14" t="inlineStr">
        <is>
          <t>Partnerships</t>
        </is>
      </c>
    </row>
    <row r="16">
      <c r="A16" s="14" t="inlineStr">
        <is>
          <t>About Us</t>
        </is>
      </c>
    </row>
    <row r="17">
      <c r="A17" s="14" t="inlineStr">
        <is>
          <t>Contact Us</t>
        </is>
      </c>
    </row>
    <row r="18">
      <c r="A18" s="14" t="inlineStr">
        <is>
          <t>Transilience Talk to an Expert</t>
        </is>
      </c>
    </row>
    <row r="19">
      <c r="A19" s="14" t="inlineStr">
        <is>
          <t>Home » Privacy and Fulfilment Policy</t>
        </is>
      </c>
    </row>
    <row r="20">
      <c r="A20" s="14" t="inlineStr">
        <is>
          <t>Home</t>
        </is>
      </c>
    </row>
    <row r="21">
      <c r="A21" s="14" t="inlineStr">
        <is>
          <t>Privacy and Fulfilment Policy</t>
        </is>
      </c>
    </row>
    <row r="22">
      <c r="A22" s="14" t="inlineStr">
        <is>
          <t>Privacy and Fulfilment Policy</t>
        </is>
      </c>
    </row>
    <row r="23">
      <c r="A23" s="14" t="inlineStr">
        <is>
          <t>Introduction</t>
        </is>
      </c>
    </row>
    <row r="24">
      <c r="A24" s="14" t="inlineStr">
        <is>
          <t>Welcome to Network Intelligence! We are committed to protecting the privacy and security of our users’ data. This Privacy Policy explains our practices regarding the collection, use, disclosure, and protection of information that applies to our service, as well as your choices about the collection and use of your information.</t>
        </is>
      </c>
    </row>
    <row r="25">
      <c r="A25" s="14" t="inlineStr">
        <is>
          <t>Information We Collect</t>
        </is>
      </c>
    </row>
    <row r="26">
      <c r="A26" s="14" t="inlineStr">
        <is>
          <t>We collect the following types of information about you:</t>
        </is>
      </c>
    </row>
    <row r="27">
      <c r="A27" s="14" t="inlineStr">
        <is>
          <t>Information you provide us directly:</t>
        </is>
      </c>
    </row>
    <row r="28">
      <c r="A28" s="14" t="inlineStr">
        <is>
          <t>User credentials: such as your username, password, email address when you register for a Network Intelligence account.</t>
        </is>
      </c>
    </row>
    <row r="29">
      <c r="A29" s="14" t="inlineStr">
        <is>
          <t>Profile information: including your name, job title, company details, and other information you choose to provide.</t>
        </is>
      </c>
    </row>
    <row r="30">
      <c r="A30" s="14" t="inlineStr">
        <is>
          <t>Communications: If you contact us directly, we may receive additional information about you such as your name, email address, phone number, the contents of the message or attachments you may send us, and any other information you may choose to provide.</t>
        </is>
      </c>
    </row>
    <row r="31">
      <c r="A31" s="14" t="inlineStr">
        <is>
          <t>Information we collect when you use our platform:</t>
        </is>
      </c>
    </row>
    <row r="32">
      <c r="A32" s="14" t="inlineStr">
        <is>
          <t>Log data: Our servers automatically record information when you use our services, including your IP address, browser type, operating system, device information, pages viewed, and interactions with content.</t>
        </is>
      </c>
    </row>
    <row r="33">
      <c r="A33" s="14" t="inlineStr">
        <is>
          <t>Network and connectivity data: including information on the devices and networks you use to access our services, as well as information gathered by our network intelligence solutions.</t>
        </is>
      </c>
    </row>
    <row r="34">
      <c r="A34" s="14" t="inlineStr">
        <is>
          <t>Use of Your Information</t>
        </is>
      </c>
    </row>
    <row r="35">
      <c r="A35" s="14" t="inlineStr">
        <is>
          <t>We may use the information collected from you to:</t>
        </is>
      </c>
    </row>
    <row r="36">
      <c r="A36" s="14" t="inlineStr">
        <is>
          <t>Provide, operate, and maintain our service;</t>
        </is>
      </c>
    </row>
    <row r="37">
      <c r="A37" s="14" t="inlineStr">
        <is>
          <t>Improve, personalize, and expand our service;</t>
        </is>
      </c>
    </row>
    <row r="38">
      <c r="A38" s="14" t="inlineStr">
        <is>
          <t>Understand and analyze how you use our service;</t>
        </is>
      </c>
    </row>
    <row r="39">
      <c r="A39" s="14" t="inlineStr">
        <is>
          <t>Develop new products, services, features, and functionality;</t>
        </is>
      </c>
    </row>
    <row r="40">
      <c r="A40" s="14" t="inlineStr">
        <is>
          <t>Communicate with you, either directly or through one of our partners, for customer service, to provide you with updates and other information relating to the service, and for marketing and promotional purposes;</t>
        </is>
      </c>
    </row>
    <row r="41">
      <c r="A41" s="14" t="inlineStr">
        <is>
          <t>Send you emails;</t>
        </is>
      </c>
    </row>
    <row r="42">
      <c r="A42" s="14" t="inlineStr">
        <is>
          <t>Find and prevent fraud.</t>
        </is>
      </c>
    </row>
    <row r="43">
      <c r="A43" s="14" t="inlineStr">
        <is>
          <t>Sharing Your Information</t>
        </is>
      </c>
    </row>
    <row r="44">
      <c r="A44" s="14" t="inlineStr">
        <is>
          <t>We may share the information we collect in various ways:</t>
        </is>
      </c>
    </row>
    <row r="45">
      <c r="A45" s="14" t="inlineStr">
        <is>
          <t>With service providers:</t>
        </is>
      </c>
    </row>
    <row r="46">
      <c r="A46" s="14" t="inlineStr">
        <is>
          <t>We may share your information with third-party vendors and service providers that provide services on our behalf, such as helping to host our service or assist us in providing the service.</t>
        </is>
      </c>
    </row>
    <row r="47">
      <c r="A47" s="14" t="inlineStr">
        <is>
          <t>For legal reasons:</t>
        </is>
      </c>
    </row>
    <row r="48">
      <c r="A48" s="14" t="inlineStr">
        <is>
          <t>To comply with the law or to protect the rights, property, or safety of Network Intelligence, our users, or others, including to prevent fraud or other illegal activity.</t>
        </is>
      </c>
    </row>
    <row r="49">
      <c r="A49" s="14" t="inlineStr">
        <is>
          <t>In the case of a business transfer:</t>
        </is>
      </c>
    </row>
    <row r="50">
      <c r="A50" s="14" t="inlineStr">
        <is>
          <t>We may share or transfer your information in connection with any merger, sale of company assets, financing, or acquisition of all or a portion of our business to another company.</t>
        </is>
      </c>
    </row>
    <row r="51">
      <c r="A51" s="14" t="inlineStr">
        <is>
          <t>Your Choices</t>
        </is>
      </c>
    </row>
    <row r="52">
      <c r="A52" s="14" t="inlineStr">
        <is>
          <t>You have choices regarding the collection and use of your information by Network Intelligence:</t>
        </is>
      </c>
    </row>
    <row r="53">
      <c r="A53" s="14" t="inlineStr">
        <is>
          <t>Opt-out of communications:</t>
        </is>
      </c>
    </row>
    <row r="54">
      <c r="A54" s="14" t="inlineStr">
        <is>
          <t>You may opt-out of receiving promotional communications from us by following the unsubscribe instructions included in those communications.</t>
        </is>
      </c>
    </row>
    <row r="55">
      <c r="A55" s="14" t="inlineStr">
        <is>
          <t>Access, update or delete the information:</t>
        </is>
      </c>
    </row>
    <row r="56">
      <c r="A56" s="14" t="inlineStr">
        <is>
          <t>You may access, update, or request deletion of your information by contacting us.</t>
        </is>
      </c>
    </row>
    <row r="57">
      <c r="A57" s="14" t="inlineStr">
        <is>
          <t>Security</t>
        </is>
      </c>
    </row>
    <row r="58">
      <c r="A58" s="14" t="inlineStr">
        <is>
          <t>Network Intelligence takes the security of your information seriously and employs a variety of measures designed to protect your information from unauthorized access and disclosure.</t>
        </is>
      </c>
    </row>
    <row r="59">
      <c r="A59" s="14" t="inlineStr">
        <is>
          <t>Fulfilment Policy:</t>
        </is>
      </c>
    </row>
    <row r="60">
      <c r="A60" s="14" t="inlineStr">
        <is>
          <t>At Network Intelligence, we are dedicated to providing high-quality digital training services and ensuring customer satisfaction. This Fulfillment Policy outlines the processes and standards we adhere to in delivering our digital training courses. Please review the following details to understand how we manage and process your requests.</t>
        </is>
      </c>
    </row>
    <row r="61">
      <c r="A61" s="14" t="inlineStr">
        <is>
          <t>Order Processing</t>
        </is>
      </c>
    </row>
    <row r="62">
      <c r="A62" s="14" t="inlineStr">
        <is>
          <t>Order Confirmation</t>
        </is>
      </c>
    </row>
    <row r="63">
      <c r="A63" s="14" t="inlineStr">
        <is>
          <t>Once an order for a digital training course is placed, you will receive an email confirmation with the course details and access information.</t>
        </is>
      </c>
    </row>
    <row r="64">
      <c r="A64" s="14" t="inlineStr">
        <is>
          <t>Please review the confirmation carefully and contact us immediately if any discrepancies are found.</t>
        </is>
      </c>
    </row>
    <row r="65">
      <c r="A65" s="14" t="inlineStr">
        <is>
          <t>Order Processing Time</t>
        </is>
      </c>
    </row>
    <row r="66">
      <c r="A66" s="14" t="inlineStr">
        <is>
          <t>Our standard processing time for digital training orders is 1 business day. Orders placed on weekends or holidays will begin processing the next business day.</t>
        </is>
      </c>
    </row>
    <row r="67">
      <c r="A67" s="14" t="inlineStr">
        <is>
          <t>You will receive access to the training materials and any necessary instructions via email.</t>
        </is>
      </c>
    </row>
    <row r="68">
      <c r="A68" s="14" t="inlineStr">
        <is>
          <t>Access and Delivery</t>
        </is>
      </c>
    </row>
    <row r="69">
      <c r="A69" s="14" t="inlineStr">
        <is>
          <t>Digital Delivery</t>
        </is>
      </c>
    </row>
    <row r="70">
      <c r="A70" s="14" t="inlineStr">
        <is>
          <t>All digital training courses are delivered online Platform. Like MS teams, Zoom etc.</t>
        </is>
      </c>
    </row>
    <row r="71">
      <c r="A71" s="14" t="inlineStr">
        <is>
          <t>Access details, including login credentials and course materials, will be provided via email</t>
        </is>
      </c>
    </row>
    <row r="72">
      <c r="A72" s="14" t="inlineStr">
        <is>
          <t>Access Timeframes</t>
        </is>
      </c>
    </row>
    <row r="73">
      <c r="A73" s="14" t="inlineStr">
        <is>
          <t>You will have access to the digital training materials immediately upon receiving your access details.</t>
        </is>
      </c>
    </row>
    <row r="74">
      <c r="A74" s="14" t="inlineStr">
        <is>
          <t>The duration of access to the course materials will vary based on the specific course purchased and will be clearly stated in the course description.</t>
        </is>
      </c>
    </row>
    <row r="75">
      <c r="A75" s="14" t="inlineStr">
        <is>
          <t>Technical Requirements</t>
        </is>
      </c>
    </row>
    <row r="76">
      <c r="A76" s="14" t="inlineStr">
        <is>
          <t>To access our digital training courses, you will need a reliable internet connection and a compatible device (computer, tablet, or smartphone).</t>
        </is>
      </c>
    </row>
    <row r="77">
      <c r="A77" s="14" t="inlineStr">
        <is>
          <t>Specific technical requirements, if any, will be provided in the course description.</t>
        </is>
      </c>
    </row>
    <row r="78">
      <c r="A78" s="14" t="inlineStr">
        <is>
          <t>Course Delivery and Support</t>
        </is>
      </c>
    </row>
    <row r="79">
      <c r="A79" s="14" t="inlineStr">
        <is>
          <t>Course Content</t>
        </is>
      </c>
    </row>
    <row r="80">
      <c r="A80" s="14" t="inlineStr">
        <is>
          <t>Our digital training courses include a combination of video lectures, reading materials, quizzes, and interactive activities.</t>
        </is>
      </c>
    </row>
    <row r="81">
      <c r="A81" s="14" t="inlineStr">
        <is>
          <t>Courses are designed to be self-paced, allowing you to learn at your own convenience.</t>
        </is>
      </c>
    </row>
    <row r="82">
      <c r="A82" s="14" t="inlineStr">
        <is>
          <t>Instructor Support</t>
        </is>
      </c>
    </row>
    <row r="83">
      <c r="A83" s="14" t="inlineStr">
        <is>
          <t>Some courses may include access to live sessions or instructor support. Details of any live sessions or instructor availability will be provided in the course description.</t>
        </is>
      </c>
    </row>
    <row r="84">
      <c r="A84" s="14" t="inlineStr">
        <is>
          <t>You can contact our support team for assistance with course content or technical issues.</t>
        </is>
      </c>
    </row>
    <row r="85">
      <c r="A85" s="14" t="inlineStr">
        <is>
          <t>Returns and Refunds</t>
        </is>
      </c>
    </row>
    <row r="86">
      <c r="A86" s="14" t="inlineStr">
        <is>
          <t>Refund Policy</t>
        </is>
      </c>
    </row>
    <row r="87">
      <c r="A87" s="14" t="inlineStr">
        <is>
          <t>We offer a 7-day refund policy for digital training courses. If you are not satisfied with the course, you can request a refund within 7 days of purchase.</t>
        </is>
      </c>
    </row>
    <row r="88">
      <c r="A88" s="14" t="inlineStr">
        <is>
          <t>To initiate a refund, please contact our customer service team with your order details and reason for the refund request.</t>
        </is>
      </c>
    </row>
    <row r="89">
      <c r="A89" s="14" t="inlineStr">
        <is>
          <t>Customer Support</t>
        </is>
      </c>
    </row>
    <row r="90">
      <c r="A90" s="14" t="inlineStr">
        <is>
          <t>Our customer support team is available to assist you with any questions or concerns regarding your digital training order.</t>
        </is>
      </c>
    </row>
    <row r="91">
      <c r="A91" s="14" t="inlineStr">
        <is>
          <t>You can reach us via email at nii_training@networkintelligence.ai</t>
        </is>
      </c>
    </row>
    <row r="92">
      <c r="A92" s="14" t="inlineStr">
        <is>
          <t>Changes to This Policy</t>
        </is>
      </c>
    </row>
    <row r="93">
      <c r="A93" s="14" t="inlineStr">
        <is>
          <t>Network Intelligence reserves the right to update or modify this Fulfillment Policy at any time. Any changes will be effective immediately upon posting on our website.</t>
        </is>
      </c>
    </row>
    <row r="94">
      <c r="A94" s="14" t="inlineStr">
        <is>
          <t>Changes to the Privacy Policy</t>
        </is>
      </c>
    </row>
    <row r="95">
      <c r="A95" s="14" t="inlineStr">
        <is>
          <t>We may amend this Privacy Policy from time to time. If we make changes, we will notify you by revising the date at the top of the policy and, in some cases, we may provide you with additional notice.</t>
        </is>
      </c>
    </row>
    <row r="96">
      <c r="A96" s="14" t="inlineStr">
        <is>
          <t>Contact Us</t>
        </is>
      </c>
    </row>
    <row r="97">
      <c r="A97" s="14" t="inlineStr">
        <is>
          <t>If you have any questions about this Privacy Policy, please contact us at contact@networkintelligence.ai .</t>
        </is>
      </c>
    </row>
    <row r="98">
      <c r="A98" s="14" t="inlineStr">
        <is>
          <t>By using our service, you acknowledge that you have read and understood this Privacy Policy.</t>
        </is>
      </c>
    </row>
    <row r="99">
      <c r="A99" s="14" t="inlineStr">
        <is>
          <t>Protecting enterprises with intelligent cybersecurity: the power of technology, the precision of human insight.</t>
        </is>
      </c>
    </row>
    <row r="100">
      <c r="A100" s="14" t="inlineStr">
        <is>
          <t>Facebook-square</t>
        </is>
      </c>
    </row>
    <row r="101">
      <c r="A101" s="14" t="inlineStr">
        <is>
          <t>Linkedin</t>
        </is>
      </c>
    </row>
    <row r="102">
      <c r="A102" s="14" t="inlineStr">
        <is>
          <t>Instagram</t>
        </is>
      </c>
    </row>
    <row r="103">
      <c r="A103" s="14" t="inlineStr">
        <is>
          <t>Youtube</t>
        </is>
      </c>
    </row>
    <row r="104">
      <c r="A104" s="14" t="inlineStr">
        <is>
          <t>Company</t>
        </is>
      </c>
    </row>
    <row r="105">
      <c r="A105" s="14" t="inlineStr">
        <is>
          <t>Work with us</t>
        </is>
      </c>
    </row>
    <row r="106">
      <c r="A106" s="14" t="inlineStr">
        <is>
          <t>Practices</t>
        </is>
      </c>
    </row>
    <row r="107">
      <c r="A107" s="14" t="inlineStr">
        <is>
          <t>Services</t>
        </is>
      </c>
    </row>
    <row r="108">
      <c r="A108" s="14" t="inlineStr">
        <is>
          <t>Partnerships</t>
        </is>
      </c>
    </row>
    <row r="109">
      <c r="A109" s="14" t="inlineStr">
        <is>
          <t>About Us</t>
        </is>
      </c>
    </row>
    <row r="110">
      <c r="A110" s="14" t="inlineStr">
        <is>
          <t>Policies</t>
        </is>
      </c>
    </row>
    <row r="111">
      <c r="A111" s="14" t="inlineStr">
        <is>
          <t>Leadership</t>
        </is>
      </c>
    </row>
    <row r="112">
      <c r="A112" s="14" t="inlineStr">
        <is>
          <t>Blogs</t>
        </is>
      </c>
    </row>
    <row r="113">
      <c r="A113" s="14" t="inlineStr">
        <is>
          <t>Subsidiaries</t>
        </is>
      </c>
    </row>
    <row r="114">
      <c r="A114" s="14" t="inlineStr">
        <is>
          <t>Transilience</t>
        </is>
      </c>
    </row>
    <row r="115">
      <c r="A115" s="14" t="inlineStr">
        <is>
          <t>Ilantus</t>
        </is>
      </c>
    </row>
    <row r="116">
      <c r="A116" s="14" t="inlineStr">
        <is>
          <t>IISecurity</t>
        </is>
      </c>
    </row>
    <row r="117">
      <c r="A117" s="14" t="inlineStr">
        <is>
          <t>Trainings</t>
        </is>
      </c>
    </row>
    <row r="118">
      <c r="A118" s="14" t="inlineStr">
        <is>
          <t>NI Training</t>
        </is>
      </c>
    </row>
    <row r="119">
      <c r="A119" s="14" t="inlineStr">
        <is>
          <t>BCI Training</t>
        </is>
      </c>
    </row>
    <row r="120">
      <c r="A120" s="14" t="inlineStr">
        <is>
          <t>Contact us</t>
        </is>
      </c>
    </row>
    <row r="121">
      <c r="A121" s="14" t="inlineStr">
        <is>
          <t>contact@networkintelligence.ai</t>
        </is>
      </c>
    </row>
    <row r="122">
      <c r="A122" s="14" t="inlineStr">
        <is>
          <t>Subscribe To Our Newsletter</t>
        </is>
      </c>
    </row>
    <row r="123">
      <c r="A123" s="14" t="inlineStr">
        <is>
          <t>© Network Intelligence - All rights reserved | Terms &amp; Conditions | Privacy Policy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26"/>
  <sheetViews>
    <sheetView workbookViewId="0">
      <selection activeCell="A1" sqref="A1"/>
    </sheetView>
  </sheetViews>
  <sheetFormatPr baseColWidth="8" defaultRowHeight="15"/>
  <cols>
    <col width="120" customWidth="1" min="1" max="1"/>
  </cols>
  <sheetData>
    <row r="1">
      <c r="A1" s="12" t="inlineStr">
        <is>
          <t>PRIVACY POLICY TEXT: powersoft.in</t>
        </is>
      </c>
    </row>
    <row r="2">
      <c r="A2" s="13" t="inlineStr">
        <is>
          <t>(read this to grade the 'powersoft.in' rows on the Labels sheet)</t>
        </is>
      </c>
    </row>
    <row r="4">
      <c r="A4" s="14">
        <f>==== PAGE: https://www.powersoft.in/privacy-policy/ =====</f>
        <v/>
      </c>
    </row>
    <row r="5">
      <c r="A5" s="14" t="inlineStr">
        <is>
          <t>RealtyOne</t>
        </is>
      </c>
    </row>
    <row r="6">
      <c r="A6" s="14" t="inlineStr">
        <is>
          <t>Overview</t>
        </is>
      </c>
    </row>
    <row r="7">
      <c r="A7" s="14" t="inlineStr">
        <is>
          <t>Products</t>
        </is>
      </c>
    </row>
    <row r="8">
      <c r="A8" s="14" t="inlineStr">
        <is>
          <t>Services</t>
        </is>
      </c>
    </row>
    <row r="9">
      <c r="A9" s="14" t="inlineStr">
        <is>
          <t>Blogs</t>
        </is>
      </c>
    </row>
    <row r="10">
      <c r="A10" s="14" t="inlineStr">
        <is>
          <t>Let's Talk</t>
        </is>
      </c>
    </row>
    <row r="11">
      <c r="A11" s="14" t="inlineStr">
        <is>
          <t>Privacy Policy</t>
        </is>
      </c>
    </row>
    <row r="12">
      <c r="A12" s="14" t="inlineStr">
        <is>
          <t>Home</t>
        </is>
      </c>
    </row>
    <row r="13">
      <c r="A13" s="14" t="inlineStr">
        <is>
          <t>Privacy Policy</t>
        </is>
      </c>
    </row>
    <row r="14">
      <c r="A14" s="14" t="inlineStr">
        <is>
          <t>Welcome to QUI (the “App”), which is provided by Powersoft IT Private Limited (“Powersoft”, “we” or “us”).</t>
        </is>
      </c>
    </row>
    <row r="15">
      <c r="A15" s="14" t="inlineStr">
        <is>
          <t>Powersoft owns and operates the App to provide Services as defined in the https://www.Powersoft.in/Termsofuse.html “Terms”) and act as a work flow coordinating software for professionals in the real estate industry.</t>
        </is>
      </c>
    </row>
    <row r="16">
      <c r="A16" s="14" t="inlineStr">
        <is>
          <t>Powersoft is concerned about the privacy of its users (hereinafter referred to as “you”, “your” “User”) accessing its App and has provided this Privacy Policy (“Policy”) to familiarise you with the manner in which Powersoft collects, uses and discloses your information collected through the App.</t>
        </is>
      </c>
    </row>
    <row r="17">
      <c r="A17" s="14" t="inlineStr">
        <is>
          <t>The Policy is subject to change without intimation and you shall be required to review the same regularly. The protection and security of your personal information is one of Powersoft’s top priorities. This Policy discloses Powersoft’s practice with respect to the information collected from you on this App.</t>
        </is>
      </c>
    </row>
    <row r="18">
      <c r="A18" s="14" t="inlineStr">
        <is>
          <t>This Policy is a part of and is to be read with the Terms. By using this App, you agree to the terms and conditions of this Policy. You also consent to our use and disclosure of your personal information in the manner described in this Policy. The capitalized words used in this Policy but not defined herein, shall have the meaning given to such words in the Terms. If you do not agree with the terms and conditions of this Policy, please do not use this App.</t>
        </is>
      </c>
    </row>
    <row r="19">
      <c r="A19" s="14" t="inlineStr">
        <is>
          <t>Further, this App is only intended to be used by Users above the age of 18 years. We do not knowingly collect personally identifiable information from persons under this age.</t>
        </is>
      </c>
    </row>
    <row r="20">
      <c r="A20" s="14" t="inlineStr">
        <is>
          <t>WHAT KINDS OF INFORMATION DO WE COLLECT?</t>
        </is>
      </c>
    </row>
    <row r="21">
      <c r="A21" s="14" t="inlineStr">
        <is>
          <t>Your Personal Information: You may share information such as your name, username, password, date of birth, email address and/or telephone number, in order to avail the Services provided by Powersoft.</t>
        </is>
      </c>
    </row>
    <row r="22">
      <c r="A22" s="14" t="inlineStr">
        <is>
          <t>Purchase Information: Powersoft and its assignees and/or licensees, may collect certain information (including but not limited to personally identifiable information) from the Users such as name, e-mail address or telephone number at the time of registration/payment. By agreeing to these Terms, you consent for Powersoft and/or its assignees and licensees to collect, receive, possess, store, deal and handle all information as provided herein for its own purposes in accordance with applicable laws.</t>
        </is>
      </c>
    </row>
    <row r="23">
      <c r="A23" s="14" t="inlineStr">
        <is>
          <t>Information in correspondence you send to us, including when you contact us for support or feedback.</t>
        </is>
      </c>
    </row>
    <row r="24">
      <c r="A24" s="14" t="inlineStr">
        <is>
          <t>Information through surveys, research, promotion, contests, marketing campaigns, challenges, competitions or events conducted or sponsored by us, in which you participate.</t>
        </is>
      </c>
    </row>
    <row r="25">
      <c r="A25" s="14" t="inlineStr">
        <is>
          <t>Things others do and information they provide about you: We also receive and analyse tasks, communication, and information that other users provide when they use the App. This can include information about you, such as when others share or comment on any task uploaded by you, send a message to you or upload, sync or import your contact information.</t>
        </is>
      </c>
    </row>
    <row r="26">
      <c r="A26" s="14" t="inlineStr">
        <is>
          <t>Your Usage: We collect information about how you use the App, such as the features you use, the actions you take, the people or Users you interact with and the time, frequency and duration of your activities. For example, we log when you’re using and have last used our App.</t>
        </is>
      </c>
    </row>
    <row r="27">
      <c r="A27" s="14" t="inlineStr">
        <is>
          <t>Messages: We collect information you provide when you compose, send, or receive messages through the App’s messaging functionalities. They include messages you send or receive through our chat functionality when communicating with other Users who you are transacting with, when purchasing items through the App. That information includes the content of the message and information about the message, such as when it was sent, received, or read, and message participants. Please be aware that messages you choose to send to other users of the App will be accessible by those users and that we are not responsible for the manner in which those users use or share the messages. (App is not responsible for the content shared in the messages)</t>
        </is>
      </c>
    </row>
    <row r="28">
      <c r="A28" s="14" t="inlineStr">
        <is>
          <t>User Content: We process the tasks, notes, checklists, deadlines, and any other information you input into the App, including, feedback, reviews, and the associated metadata, such as when, where, and by whom the content was created (“User Content”). Even if you are not a user, information about you may appear in User Content created or published by users on the App. We may access content, including text, found in your device’s clipboard, with your permission.</t>
        </is>
      </c>
    </row>
    <row r="29">
      <c r="A29" s="14" t="inlineStr">
        <is>
          <t>AUTOMATICALLY COLLECTED INFORMATION</t>
        </is>
      </c>
    </row>
    <row r="30">
      <c r="A30" s="14" t="inlineStr">
        <is>
          <t>This data helps us understand how our users interact with the App and to improve its performance and functionality.</t>
        </is>
      </c>
    </row>
    <row r="31">
      <c r="A31" s="14" t="inlineStr">
        <is>
          <t>Usage Information: Information about how you use the App, such as the features you access, the time and duration of your use, and the frequency of your activities.</t>
        </is>
      </c>
    </row>
    <row r="32">
      <c r="A32" s="14" t="inlineStr">
        <is>
          <t>Location/Device Information: Information about the device you use to access the App, including your device’s unique ID, IP address, operating system, and mobile browser type. We collect information about your approximate location, including location information based on your SIM card and/or IP address. With your permission, we may also collect precise location data (such as GPS).</t>
        </is>
      </c>
    </row>
    <row r="33">
      <c r="A33" s="14" t="inlineStr">
        <is>
          <t>Analytics Data: We may use third-party analytics tools to collect and analyse information about your usage of the App. This data is typically aggregated and anonymized.</t>
        </is>
      </c>
    </row>
    <row r="34">
      <c r="A34" s="14" t="inlineStr">
        <is>
          <t>Technical Information we collect about you: We collect certain information about the device you use to access the App, such as your IP address, user agent, mobile carrier, time zone settings, identifiers for advertising purposes, model of your device, the device system, network type, device IDs, your screen resolution and operating system, app and file names and types, keystroke patterns or rhythms, and battery state. Where you log-in from multiple devices, we will be able to use your profile information to identify your activity across devices.</t>
        </is>
      </c>
    </row>
    <row r="35">
      <c r="A35" s="14" t="inlineStr">
        <is>
          <t>Inferred Information: We also infer your attributes, including your interests, gender and age range for the purpose of personalising advertisements.</t>
        </is>
      </c>
    </row>
    <row r="36">
      <c r="A36" s="14" t="inlineStr">
        <is>
          <t>COOKIES</t>
        </is>
      </c>
    </row>
    <row r="37">
      <c r="A37" s="14" t="inlineStr">
        <is>
          <t>Our App uses cookies to distinguish you from other users of the App. This helps us to provide you with a good experience when you browse the App and when you use our app and allows us to improve our site. Cookies are small pieces of text used to store information in web browsers (if you consent). Cookies contain information that is transferred to the hard drive of your device.</t>
        </is>
      </c>
    </row>
    <row r="38">
      <c r="A38" s="14" t="inlineStr">
        <is>
          <t>Advertising, Recommendations, Insights and Measurement</t>
        </is>
      </c>
    </row>
    <row r="39">
      <c r="A39" s="14" t="inlineStr">
        <is>
          <t>We use Cookies to help us show advertisements and to make recommendations for businesses and other organisations to people who may be interested in the products, services or causes they promote.</t>
        </is>
      </c>
    </row>
    <row r="40">
      <c r="A40" s="14" t="inlineStr">
        <is>
          <t>We also use Cookies to help measure the performance of advertisement campaigns for businesses that use the App.</t>
        </is>
      </c>
    </row>
    <row r="41">
      <c r="A41" s="14" t="inlineStr">
        <is>
          <t>Cookies help us serve and measure advertisements across different browsers and devices used by the same person.</t>
        </is>
      </c>
    </row>
    <row r="42">
      <c r="A42" s="14" t="inlineStr">
        <is>
          <t>Cookies also allow us to provide insights about the people who use the App, as well as the people who interact with the advertisements, websites and apps of our advertisers and the businesses that use the App.</t>
        </is>
      </c>
    </row>
    <row r="43">
      <c r="A43" s="14" t="inlineStr">
        <is>
          <t>Performance We use Cookies to provide you with the best experience possible.</t>
        </is>
      </c>
    </row>
    <row r="44">
      <c r="A44" s="14" t="inlineStr">
        <is>
          <t>Analytics and Research We use Cookies to better understand how people use the App so that we can improve them.</t>
        </is>
      </c>
    </row>
    <row r="45">
      <c r="A45" s="14" t="inlineStr">
        <is>
          <t>Third Party Please note that when you access or use our services through third-party websites, we may share some information with them when you perform certain actions in the purchase flow. We will not use any Cookies or pixels for these purposes. We may not be able to erase your data in new sessions if there is no way for us to identify you. They serve the same purposes as Cookies set in the App, which are to personalise content (including advertisements), measure advertisements, produce analytics and provide a safer experience, as set out in this Policy.</t>
        </is>
      </c>
    </row>
    <row r="46">
      <c r="A46" s="14" t="inlineStr">
        <is>
          <t>INFORMATION FROM OTHER SOURCES</t>
        </is>
      </c>
    </row>
    <row r="47">
      <c r="A47" s="14" t="inlineStr">
        <is>
          <t>We may receive the information described in this Policy from other sources, such as:</t>
        </is>
      </c>
    </row>
    <row r="48">
      <c r="A48" s="14" t="inlineStr">
        <is>
          <t>Advertisers, measurement and other partners share information with us about you and the actions you have taken outside of the App, such as your activities on other websites and apps or in stores, including the products or services you purchased, online.</t>
        </is>
      </c>
    </row>
    <row r="49">
      <c r="A49" s="14" t="inlineStr">
        <is>
          <t>Purchase Data: You give your Personal Information when you purchase on the App (for example, when you purchase a membership plan on the App). This is generally information including the contents of your purchase, your name, email address, telephone number, billing address and payment details (e.g. credit/debit card/UPI).</t>
        </is>
      </c>
    </row>
    <row r="50">
      <c r="A50" s="14" t="inlineStr">
        <is>
          <t>HOW WE USE THE INFORMATION WE COLLECT?</t>
        </is>
      </c>
    </row>
    <row r="51">
      <c r="A51" s="14" t="inlineStr">
        <is>
          <t>We use the information we collect from and about you for a variety of purposes, including to:</t>
        </is>
      </c>
    </row>
    <row r="52">
      <c r="A52" s="14" t="inlineStr">
        <is>
          <t>Operate and manage the App and its core features, such as task creation, synchronization, and storage.</t>
        </is>
      </c>
    </row>
    <row r="53">
      <c r="A53" s="14" t="inlineStr">
        <is>
          <t>Allow you to create an account, log in, and access the App’s functionalities.</t>
        </is>
      </c>
    </row>
    <row r="54">
      <c r="A54" s="14" t="inlineStr">
        <is>
          <t>Analyse usage trends, troubleshoot technical issues, and improve the user interface and functionality of the App.</t>
        </is>
      </c>
    </row>
    <row r="55">
      <c r="A55" s="14" t="inlineStr">
        <is>
          <t>Send you service updates, security alerts, and support messages, as well as to respond to your inquiries.</t>
        </is>
      </c>
    </row>
    <row r="56">
      <c r="A56" s="14" t="inlineStr">
        <is>
          <t>Detect, prevent, and address technical issues, fraud, or illegal activity.</t>
        </is>
      </c>
    </row>
    <row r="57">
      <c r="A57" s="14" t="inlineStr">
        <is>
          <t>Send you general, marketing communications that you have requested or that may be of interest to you by way of emails, or courier, or registered post, or telephone calls, or any other mode of communication.</t>
        </is>
      </c>
    </row>
    <row r="58">
      <c r="A58" s="14" t="inlineStr">
        <is>
          <t>Enable us to show you ads that are relevant to you.</t>
        </is>
      </c>
    </row>
    <row r="59">
      <c r="A59" s="14" t="inlineStr">
        <is>
          <t>Generate and review reports and data about, and to conduct research on, our user base and Service usage patterns.</t>
        </is>
      </c>
    </row>
    <row r="60">
      <c r="A60" s="14" t="inlineStr">
        <is>
          <t>Provide you with rules, updates and notices about the Service.</t>
        </is>
      </c>
    </row>
    <row r="61">
      <c r="A61" s="14" t="inlineStr">
        <is>
          <t>Carry out our obligations and enforce our rights arising from any contracts entered into between you and us, including for billing and collection.</t>
        </is>
      </c>
    </row>
    <row r="62">
      <c r="A62" s="14" t="inlineStr">
        <is>
          <t>Notify you about changes to our Services.</t>
        </is>
      </c>
    </row>
    <row r="63">
      <c r="A63" s="14" t="inlineStr">
        <is>
          <t>In any other way we may describe when you provide the information.</t>
        </is>
      </c>
    </row>
    <row r="64">
      <c r="A64" s="14" t="inlineStr">
        <is>
          <t>For any other purpose, with your consent.</t>
        </is>
      </c>
    </row>
    <row r="65">
      <c r="A65" s="14" t="inlineStr">
        <is>
          <t>Log Files: Powersoft follows a standard procedure of using log files. These files log visitors when they visit websites. All hosting companies do this and a part of hosting services’ analytics. The information collected by log files include internet protocol (IP) addresses, browser type, Internet Service Provider (ISP), date and time stamp, referring/exit pages, and possibly the number of clicks. These are not linked to any information that is personally identifiable. The purpose of the information is for analyzing trends, administering the site, tracking users’ movement on the website, and gathering demographic information.</t>
        </is>
      </c>
    </row>
    <row r="66">
      <c r="A66" s="14" t="inlineStr">
        <is>
          <t>HOW WE SHARE THIS INFORMATION</t>
        </is>
      </c>
    </row>
    <row r="67">
      <c r="A67" s="14" t="inlineStr">
        <is>
          <t>Advertisers, Advertising Networks and Measurement Partners We share information with advertisers and third-party measurement companies to show how users of the App have viewed or clicked on an advertisement.</t>
        </is>
      </c>
    </row>
    <row r="68">
      <c r="A68" s="14" t="inlineStr">
        <is>
          <t>Analytics Providers: We use analytics providers to help us in the optimisation and improvement of the App. Our third-party analytics providers also help us serve targeted advertisements.</t>
        </is>
      </c>
    </row>
    <row r="69">
      <c r="A69" s="14" t="inlineStr">
        <is>
          <t>Affiliates We share your Personal Information, user activity, links you have interacted with and/or information of your participation and use of the App with affiliates of the App.</t>
        </is>
      </c>
    </row>
    <row r="70">
      <c r="A70" s="14" t="inlineStr">
        <is>
          <t>For Legal Reasons We will share your information with law enforcement agencies, public authorities or other organisations if legally required to do so, or if such use is reasonably necessary to:</t>
        </is>
      </c>
    </row>
    <row r="71">
      <c r="A71" s="14" t="inlineStr">
        <is>
          <t>comply with legal obligation, process or request;</t>
        </is>
      </c>
    </row>
    <row r="72">
      <c r="A72" s="14" t="inlineStr">
        <is>
          <t>enforce our Terms and other agreements, policies, and standards, including investigation of any potential violation thereof;</t>
        </is>
      </c>
    </row>
    <row r="73">
      <c r="A73" s="14" t="inlineStr">
        <is>
          <t>detect, prevent or otherwise address security, fraud or technical issues; or</t>
        </is>
      </c>
    </row>
    <row r="74">
      <c r="A74" s="14" t="inlineStr">
        <is>
          <t>protect the rights, property or safety of us, our users, a third party or the public as required or permitted by law (including exchanging information with other companies and organisations for the purposes of fraud protection and credit risk reduction).</t>
        </is>
      </c>
    </row>
    <row r="75">
      <c r="A75" s="14" t="inlineStr">
        <is>
          <t>Third Parties</t>
        </is>
      </c>
    </row>
    <row r="76">
      <c r="A76" s="14" t="inlineStr">
        <is>
          <t>We may integrate with other third party products and services to enable certain features of the App. We do not share your Personal Information with them except as is necessary in order to allow them to perform the features requiring their integration. For instance we may share yout information for cloud hosting, analytics services and customer support.</t>
        </is>
      </c>
    </row>
    <row r="77">
      <c r="A77" s="14" t="inlineStr">
        <is>
          <t>If we sell, buy, merge, are acquired by, or partner with other companies or businesses, or sell some or all of our assets. In such transactions, user information, including your Personal Information, may be among the transferred assets.</t>
        </is>
      </c>
    </row>
    <row r="78">
      <c r="A78" s="14" t="inlineStr">
        <is>
          <t>When you make a purchase through our App, we share the information related to the transaction with the merchant, payment and transaction fulfilment providers, and other service providers.</t>
        </is>
      </c>
    </row>
    <row r="79">
      <c r="A79" s="14" t="inlineStr">
        <is>
          <t>YOUR RIGHTS AND CHOICES</t>
        </is>
      </c>
    </row>
    <row r="80">
      <c r="A80" s="14" t="inlineStr">
        <is>
          <t>You have rights and choices when it comes to your information. You can opt-out of receiving our communications at any time by selecting the unsubscribe link in any email we send, following the instructions in any SMS we send or by emailing us at Legal@powersoft.in.</t>
        </is>
      </c>
    </row>
    <row r="81">
      <c r="A81" s="14" t="inlineStr">
        <is>
          <t>You may be able to refuse or disable Cookies by adjusting your device browser settings. Because each browser is different, please consult the instructions provided by your browser. Please note that you may need to take additional steps to refuse or disable certain types of Cookies. For example, due to differences in how browsers and mobile apps function, you may need to take different steps to opt out of Cookies used for targeted advertising in a browser and to opt out of targeted advertising for a mobile application, which you may control through your device settings or mobile app permissions. In addition, your opt-out selection is specific to the particular browser or device that you are using when you opt out, so you may need to opt-out separately for each of the browser or device.</t>
        </is>
      </c>
    </row>
    <row r="82">
      <c r="A82" s="14" t="inlineStr">
        <is>
          <t>DATA RETENTION</t>
        </is>
      </c>
    </row>
    <row r="83">
      <c r="A83" s="14" t="inlineStr">
        <is>
          <t>We may hold on to your Personal Information for as long as we need to for the purposes for which it is processed or as is otherwise required by applicable law.</t>
        </is>
      </c>
    </row>
    <row r="84">
      <c r="A84" s="14" t="inlineStr">
        <is>
          <t>We calculate the appropriate retention period for your data by considering the nature and sensitivity of the data, the purposes for which we are processing the data, and any applicable statutory retention periods. Using these criteria, we regularly review the Personal Information that we hold and the purposes for which it is held and processed. Once processing has been completed, we may securely delete or anonymise your personal data.</t>
        </is>
      </c>
    </row>
    <row r="85">
      <c r="A85" s="14" t="inlineStr">
        <is>
          <t>LINKS FROM OUR APP</t>
        </is>
      </c>
    </row>
    <row r="86">
      <c r="A86" s="14" t="inlineStr">
        <is>
          <t>We may have pages containing external links. You are advised to verify the privacy practices of such externally linked websites. Powersoft is not responsible for the manner of use or misuse of information made available by you at such other websites. We encourage you not to provide personal information, without assuring yourselves of the privacy policy of external linked websites.</t>
        </is>
      </c>
    </row>
    <row r="87">
      <c r="A87" s="14" t="inlineStr">
        <is>
          <t>DATA PROTECTION AND SECURITY MEASURES</t>
        </is>
      </c>
    </row>
    <row r="88">
      <c r="A88" s="14" t="inlineStr">
        <is>
          <t>Powersoft IT Private Limited is committed to protecting your personal data and implements the following security measures:</t>
        </is>
      </c>
    </row>
    <row r="89">
      <c r="A89" s="14" t="inlineStr">
        <is>
          <t>Encryption</t>
        </is>
      </c>
    </row>
    <row r="90">
      <c r="A90" s="14" t="inlineStr">
        <is>
          <t>All data transmitted between your device and our servers is encrypted using industry-standard TLS/HTTPS protocols.</t>
        </is>
      </c>
    </row>
    <row r="91">
      <c r="A91" s="14" t="inlineStr">
        <is>
          <t>Sensitive data stored on our servers is encrypted at rest using AES-256 encryption.</t>
        </is>
      </c>
    </row>
    <row r="92">
      <c r="A92" s="14" t="inlineStr">
        <is>
          <t>Access Controls</t>
        </is>
      </c>
    </row>
    <row r="93">
      <c r="A93" s="14" t="inlineStr">
        <is>
          <t>Access to user data is strictly limited to authorized personnel only.</t>
        </is>
      </c>
    </row>
    <row r="94">
      <c r="A94" s="14" t="inlineStr">
        <is>
          <t>We implement role-based access controls (RBAC) to ensure employees can only access data necessary for their specific job functions.</t>
        </is>
      </c>
    </row>
    <row r="95">
      <c r="A95" s="14" t="inlineStr">
        <is>
          <t>All internal access to sensitive data is logged and monitored.</t>
        </is>
      </c>
    </row>
    <row r="96">
      <c r="A96" s="14" t="inlineStr">
        <is>
          <t>Google API Data Protection</t>
        </is>
      </c>
    </row>
    <row r="97">
      <c r="A97" s="14" t="inlineStr">
        <is>
          <t>Our Gmail Add-on accesses Gmail data (email subject, body, attachments) and Google Contacts solely for task creation purposes.</t>
        </is>
      </c>
    </row>
    <row r="98">
      <c r="A98" s="14" t="inlineStr">
        <is>
          <t>Data is transmitted only over encrypted HTTPS connections.</t>
        </is>
      </c>
    </row>
    <row r="99">
      <c r="A99" s="14" t="inlineStr">
        <is>
          <t>Data is never stored independently on our servers.</t>
        </is>
      </c>
    </row>
    <row r="100">
      <c r="A100" s="14" t="inlineStr">
        <is>
          <t>Data is never used for advertising or profiling.</t>
        </is>
      </c>
    </row>
    <row r="101">
      <c r="A101" s="14" t="inlineStr">
        <is>
          <t>Data is processed only at the moment of task submission.</t>
        </is>
      </c>
    </row>
    <row r="102">
      <c r="A102" s="14" t="inlineStr">
        <is>
          <t>Data processing complies with the Google API Services User Data Policy, including Limited Use requirements.</t>
        </is>
      </c>
    </row>
    <row r="103">
      <c r="A103" s="14" t="inlineStr">
        <is>
          <t>Infrastructure Security</t>
        </is>
      </c>
    </row>
    <row r="104">
      <c r="A104" s="14" t="inlineStr">
        <is>
          <t>Our servers are protected by industry-standard firewalls.</t>
        </is>
      </c>
    </row>
    <row r="105">
      <c r="A105" s="14" t="inlineStr">
        <is>
          <t>Intrusion detection systems are implemented.</t>
        </is>
      </c>
    </row>
    <row r="106">
      <c r="A106" s="14" t="inlineStr">
        <is>
          <t>Regular security patches and updates are applied.</t>
        </is>
      </c>
    </row>
    <row r="107">
      <c r="A107" s="14" t="inlineStr">
        <is>
          <t>Continuous monitoring is performed for suspicious activity.</t>
        </is>
      </c>
    </row>
    <row r="108">
      <c r="A108" s="14" t="inlineStr">
        <is>
          <t>Data Breach Response</t>
        </is>
      </c>
    </row>
    <row r="109">
      <c r="A109" s="14" t="inlineStr">
        <is>
          <t>Notify affected users within 72 hours.</t>
        </is>
      </c>
    </row>
    <row r="110">
      <c r="A110" s="14" t="inlineStr">
        <is>
          <t>Take immediate steps to contain the breach.</t>
        </is>
      </c>
    </row>
    <row r="111">
      <c r="A111" s="14" t="inlineStr">
        <is>
          <t>Report the breach to relevant authorities as required by applicable law.</t>
        </is>
      </c>
    </row>
    <row r="112">
      <c r="A112" s="14" t="inlineStr">
        <is>
          <t>Provide clear information about the breach and the steps taken.</t>
        </is>
      </c>
    </row>
    <row r="113">
      <c r="A113" s="14" t="inlineStr">
        <is>
          <t>Third Party Security</t>
        </is>
      </c>
    </row>
    <row r="114">
      <c r="A114" s="14" t="inlineStr">
        <is>
          <t>Third-party service providers must maintain appropriate security measures.</t>
        </is>
      </c>
    </row>
    <row r="115">
      <c r="A115" s="14" t="inlineStr">
        <is>
          <t>They may process data only as instructed by us.</t>
        </is>
      </c>
    </row>
    <row r="116">
      <c r="A116" s="14" t="inlineStr">
        <is>
          <t>They must not share data with unauthorized parties.</t>
        </is>
      </c>
    </row>
    <row r="117">
      <c r="A117" s="14" t="inlineStr">
        <is>
          <t>They must comply with applicable data protection laws.</t>
        </is>
      </c>
    </row>
    <row r="118">
      <c r="A118" s="14" t="inlineStr">
        <is>
          <t>Employee Training</t>
        </is>
      </c>
    </row>
    <row r="119">
      <c r="A119" s="14" t="inlineStr">
        <is>
          <t>All Powersoft employees who handle user data are trained on data protection practices.</t>
        </is>
      </c>
    </row>
    <row r="120">
      <c r="A120" s="14" t="inlineStr">
        <is>
          <t>Employees are bound by confidentiality agreements.</t>
        </is>
      </c>
    </row>
    <row r="121">
      <c r="A121" s="14" t="inlineStr">
        <is>
          <t>Regular Security Audits</t>
        </is>
      </c>
    </row>
    <row r="122">
      <c r="A122" s="14" t="inlineStr">
        <is>
          <t>We conduct regular security assessments.</t>
        </is>
      </c>
    </row>
    <row r="123">
      <c r="A123" s="14" t="inlineStr">
        <is>
          <t>We perform audits to identify and address potential vulnerabilities in our systems and processes.</t>
        </is>
      </c>
    </row>
    <row r="124">
      <c r="A124" s="14" t="inlineStr">
        <is>
          <t>CONTACT AND COMPLAINTS</t>
        </is>
      </c>
    </row>
    <row r="125">
      <c r="A125" s="14" t="inlineStr">
        <is>
          <t>If you have any queries or complaints about how we handle your personal information, please contact us at legal@powersoft.in</t>
        </is>
      </c>
    </row>
    <row r="126">
      <c r="A126" s="14" t="inlineStr">
        <is>
          <t>Our partners</t>
        </is>
      </c>
    </row>
    <row r="127">
      <c r="A127" s="14" t="inlineStr">
        <is>
          <t>Let’s get started on something great</t>
        </is>
      </c>
    </row>
    <row r="128">
      <c r="A128" s="14" t="inlineStr">
        <is>
          <t>Schedule a free discovery call for consulting services or book a product demo today.</t>
        </is>
      </c>
    </row>
    <row r="129">
      <c r="A129" s="14" t="inlineStr">
        <is>
          <t>Free Discovery Call Book A Product Demo</t>
        </is>
      </c>
    </row>
    <row r="130">
      <c r="A130" s="14" t="inlineStr">
        <is>
          <t>13</t>
        </is>
      </c>
    </row>
    <row r="131">
      <c r="A131" s="14" t="inlineStr">
        <is>
          <t>Products</t>
        </is>
      </c>
    </row>
    <row r="132">
      <c r="A132" s="14" t="inlineStr">
        <is>
          <t>9</t>
        </is>
      </c>
    </row>
    <row r="133">
      <c r="A133" s="14" t="inlineStr">
        <is>
          <t>Services</t>
        </is>
      </c>
    </row>
    <row r="134">
      <c r="A134" s="14" t="inlineStr">
        <is>
          <t>100%</t>
        </is>
      </c>
    </row>
    <row r="135">
      <c r="A135" s="14" t="inlineStr">
        <is>
          <t>Success Rate</t>
        </is>
      </c>
    </row>
    <row r="136">
      <c r="A136" s="14" t="inlineStr">
        <is>
          <t>Products</t>
        </is>
      </c>
    </row>
    <row r="137">
      <c r="A137" s="14" t="inlineStr">
        <is>
          <t>RealtyOne©</t>
        </is>
      </c>
    </row>
    <row r="138">
      <c r="A138" s="14" t="inlineStr">
        <is>
          <t>On Oracle NetSuite</t>
        </is>
      </c>
    </row>
    <row r="139">
      <c r="A139" s="14" t="inlineStr">
        <is>
          <t>RehabPro</t>
        </is>
      </c>
    </row>
    <row r="140">
      <c r="A140" s="14" t="inlineStr">
        <is>
          <t>Building Automation</t>
        </is>
      </c>
    </row>
    <row r="141">
      <c r="A141" s="14" t="inlineStr">
        <is>
          <t>QUI</t>
        </is>
      </c>
    </row>
    <row r="142">
      <c r="A142" s="14" t="inlineStr">
        <is>
          <t>WarehousePro</t>
        </is>
      </c>
    </row>
    <row r="143">
      <c r="A143" s="14" t="inlineStr">
        <is>
          <t>FinTax</t>
        </is>
      </c>
    </row>
    <row r="144">
      <c r="A144" s="14" t="inlineStr">
        <is>
          <t>On Oracle NetSuite</t>
        </is>
      </c>
    </row>
    <row r="145">
      <c r="A145" s="14" t="inlineStr">
        <is>
          <t>India Tax Automation</t>
        </is>
      </c>
    </row>
    <row r="146">
      <c r="A146" s="14" t="inlineStr">
        <is>
          <t>On Oracle NetSuite</t>
        </is>
      </c>
    </row>
    <row r="147">
      <c r="A147" s="14" t="inlineStr">
        <is>
          <t>Bank Connect</t>
        </is>
      </c>
    </row>
    <row r="148">
      <c r="A148" s="14" t="inlineStr">
        <is>
          <t>On Oracle NetSuite</t>
        </is>
      </c>
    </row>
    <row r="149">
      <c r="A149" s="14" t="inlineStr">
        <is>
          <t>Vendor Relationship Management</t>
        </is>
      </c>
    </row>
    <row r="150">
      <c r="A150" s="14" t="inlineStr">
        <is>
          <t>On Oracle NetSuite</t>
        </is>
      </c>
    </row>
    <row r="151">
      <c r="A151" s="14" t="inlineStr">
        <is>
          <t>Vendor Onboarding</t>
        </is>
      </c>
    </row>
    <row r="152">
      <c r="A152" s="14" t="inlineStr">
        <is>
          <t>On Oracle NetSuite</t>
        </is>
      </c>
    </row>
    <row r="153">
      <c r="A153" s="14" t="inlineStr">
        <is>
          <t>Vendor Insights</t>
        </is>
      </c>
    </row>
    <row r="154">
      <c r="A154" s="14" t="inlineStr">
        <is>
          <t>On Oracle NetSuite</t>
        </is>
      </c>
    </row>
    <row r="155">
      <c r="A155" s="14" t="inlineStr">
        <is>
          <t>Vendor Portal</t>
        </is>
      </c>
    </row>
    <row r="156">
      <c r="A156" s="14" t="inlineStr">
        <is>
          <t>On Oracle NetSuite</t>
        </is>
      </c>
    </row>
    <row r="157">
      <c r="A157" s="14" t="inlineStr">
        <is>
          <t>Services</t>
        </is>
      </c>
    </row>
    <row r="158">
      <c r="A158" s="14" t="inlineStr">
        <is>
          <t>Consulting</t>
        </is>
      </c>
    </row>
    <row r="159">
      <c r="A159" s="14" t="inlineStr">
        <is>
          <t>Business Process &amp; Re-engineering</t>
        </is>
      </c>
    </row>
    <row r="160">
      <c r="A160" s="14" t="inlineStr">
        <is>
          <t>Enterprise Solutions</t>
        </is>
      </c>
    </row>
    <row r="161">
      <c r="A161" s="14" t="inlineStr">
        <is>
          <t>Digital Transformation Strategy</t>
        </is>
      </c>
    </row>
    <row r="162">
      <c r="A162" s="14" t="inlineStr">
        <is>
          <t>Cloud Strategy</t>
        </is>
      </c>
    </row>
    <row r="163">
      <c r="A163" s="14" t="inlineStr">
        <is>
          <t>Data Analytics and Business Intelligence</t>
        </is>
      </c>
    </row>
    <row r="164">
      <c r="A164" s="14" t="inlineStr">
        <is>
          <t>ERP Implementation</t>
        </is>
      </c>
    </row>
    <row r="165">
      <c r="A165" s="14" t="inlineStr">
        <is>
          <t>Oracle NetSuite ERP Implementation</t>
        </is>
      </c>
    </row>
    <row r="166">
      <c r="A166" s="14" t="inlineStr">
        <is>
          <t>Oracle NetSuite Integrations</t>
        </is>
      </c>
    </row>
    <row r="167">
      <c r="A167" s="14" t="inlineStr">
        <is>
          <t>Oracle NetSuite Customisation</t>
        </is>
      </c>
    </row>
    <row r="168">
      <c r="A168" s="14" t="inlineStr">
        <is>
          <t>Oracle EBS Customisation</t>
        </is>
      </c>
    </row>
    <row r="169">
      <c r="A169" s="14" t="inlineStr">
        <is>
          <t>Know Us</t>
        </is>
      </c>
    </row>
    <row r="170">
      <c r="A170" s="14" t="inlineStr">
        <is>
          <t>About Us</t>
        </is>
      </c>
    </row>
    <row r="171">
      <c r="A171" s="14" t="inlineStr">
        <is>
          <t>Case Studies</t>
        </is>
      </c>
    </row>
    <row r="172">
      <c r="A172" s="14" t="inlineStr">
        <is>
          <t>Career</t>
        </is>
      </c>
    </row>
    <row r="173">
      <c r="A173" s="14" t="inlineStr">
        <is>
          <t>Contact Us</t>
        </is>
      </c>
    </row>
    <row r="174">
      <c r="A174" s="14" t="inlineStr">
        <is>
          <t>Blogs</t>
        </is>
      </c>
    </row>
    <row r="175">
      <c r="A175" s="14" t="inlineStr">
        <is>
          <t>Policy</t>
        </is>
      </c>
    </row>
    <row r="176">
      <c r="A176" s="14" t="inlineStr">
        <is>
          <t>Terms of Use</t>
        </is>
      </c>
    </row>
    <row r="177">
      <c r="A177" s="14" t="inlineStr">
        <is>
          <t>Privacy Policy</t>
        </is>
      </c>
    </row>
    <row r="178">
      <c r="A178" s="14" t="inlineStr">
        <is>
          <t>Contact Us</t>
        </is>
      </c>
    </row>
    <row r="179">
      <c r="A179" s="14" t="inlineStr">
        <is>
          <t>7th Floor, Akruti Trade Centre, Road</t>
        </is>
      </c>
    </row>
    <row r="180">
      <c r="A180" s="14" t="inlineStr">
        <is>
          <t>No. 7, MIDC, Andheri - East Mumbai Suburban,</t>
        </is>
      </c>
    </row>
    <row r="181">
      <c r="A181" s="14" t="inlineStr">
        <is>
          <t>Maharashtra, 400093</t>
        </is>
      </c>
    </row>
    <row r="182">
      <c r="A182" s="14" t="inlineStr">
        <is>
          <t>enquiry[at]powersoft.in</t>
        </is>
      </c>
    </row>
    <row r="183">
      <c r="A183" s="14" t="inlineStr">
        <is>
          <t>+91 22 65431700</t>
        </is>
      </c>
    </row>
    <row r="184">
      <c r="A184" s="14" t="inlineStr">
        <is>
          <t>© 2026 Powersoft All rights reserved. Terms &amp; Conditions | Site Experience | Sitemap</t>
        </is>
      </c>
    </row>
    <row r="185">
      <c r="A185" s="14" t="inlineStr">
        <is>
          <t>Made with by C Com Digital</t>
        </is>
      </c>
    </row>
    <row r="186">
      <c r="A186" s="14" t="inlineStr">
        <is>
          <t>Book A Free Discovery Call</t>
        </is>
      </c>
    </row>
    <row r="187">
      <c r="A187" s="14" t="inlineStr">
        <is>
          <t>Step 1: Enter your personal details</t>
        </is>
      </c>
    </row>
    <row r="188">
      <c r="A188" s="14" t="inlineStr">
        <is>
          <t>Your Name *</t>
        </is>
      </c>
    </row>
    <row r="189">
      <c r="A189" s="14" t="inlineStr">
        <is>
          <t>Your Email *</t>
        </is>
      </c>
    </row>
    <row r="190">
      <c r="A190" s="14" t="inlineStr">
        <is>
          <t>Your Phone *</t>
        </is>
      </c>
    </row>
    <row r="191">
      <c r="A191" s="14" t="inlineStr">
        <is>
          <t>Select a Service *</t>
        </is>
      </c>
    </row>
    <row r="192">
      <c r="A192" s="14" t="inlineStr">
        <is>
          <t>Select Service</t>
        </is>
      </c>
    </row>
    <row r="193">
      <c r="A193" s="14" t="inlineStr">
        <is>
          <t>Business Process Re-engineering</t>
        </is>
      </c>
    </row>
    <row r="194">
      <c r="A194" s="14" t="inlineStr">
        <is>
          <t>Solutions Architecture</t>
        </is>
      </c>
    </row>
    <row r="195">
      <c r="A195" s="14" t="inlineStr">
        <is>
          <t>Digital Transformation Strategy</t>
        </is>
      </c>
    </row>
    <row r="196">
      <c r="A196" s="14" t="inlineStr">
        <is>
          <t>Cloud Strategy</t>
        </is>
      </c>
    </row>
    <row r="197">
      <c r="A197" s="14" t="inlineStr">
        <is>
          <t>Data Analytics and Business Intelligence</t>
        </is>
      </c>
    </row>
    <row r="198">
      <c r="A198" s="14" t="inlineStr">
        <is>
          <t>Oracle NetSuite Implementation</t>
        </is>
      </c>
    </row>
    <row r="199">
      <c r="A199" s="14" t="inlineStr">
        <is>
          <t>Oracle NetSuite Integrations</t>
        </is>
      </c>
    </row>
    <row r="200">
      <c r="A200" s="14" t="inlineStr">
        <is>
          <t>Oracle NetSuite Customisation</t>
        </is>
      </c>
    </row>
    <row r="201">
      <c r="A201" s="14" t="inlineStr">
        <is>
          <t>Oracle EBS Customisation</t>
        </is>
      </c>
    </row>
    <row r="202">
      <c r="A202" s="14" t="inlineStr">
        <is>
          <t>Next</t>
        </is>
      </c>
    </row>
    <row r="203">
      <c r="A203" s="14" t="inlineStr">
        <is>
          <t>Book A Product Demo</t>
        </is>
      </c>
    </row>
    <row r="204">
      <c r="A204" s="14" t="inlineStr">
        <is>
          <t>Your Name *</t>
        </is>
      </c>
    </row>
    <row r="205">
      <c r="A205" s="14" t="inlineStr">
        <is>
          <t>Your Email *</t>
        </is>
      </c>
    </row>
    <row r="206">
      <c r="A206" s="14" t="inlineStr">
        <is>
          <t>Your Phone *</t>
        </is>
      </c>
    </row>
    <row r="207">
      <c r="A207" s="14" t="inlineStr">
        <is>
          <t>Select a Products *</t>
        </is>
      </c>
    </row>
    <row r="208">
      <c r="A208" s="14" t="inlineStr">
        <is>
          <t>Select product</t>
        </is>
      </c>
    </row>
    <row r="209">
      <c r="A209" s="14" t="inlineStr">
        <is>
          <t>RealtyOne</t>
        </is>
      </c>
    </row>
    <row r="210">
      <c r="A210" s="14" t="inlineStr">
        <is>
          <t>RehabPro</t>
        </is>
      </c>
    </row>
    <row r="211">
      <c r="A211" s="14" t="inlineStr">
        <is>
          <t>Building Automation</t>
        </is>
      </c>
    </row>
    <row r="212">
      <c r="A212" s="14" t="inlineStr">
        <is>
          <t>ProjectBrain</t>
        </is>
      </c>
    </row>
    <row r="213">
      <c r="A213" s="14" t="inlineStr">
        <is>
          <t>ComplyPro</t>
        </is>
      </c>
    </row>
    <row r="214">
      <c r="A214" s="14" t="inlineStr">
        <is>
          <t>FinTax</t>
        </is>
      </c>
    </row>
    <row r="215">
      <c r="A215" s="14" t="inlineStr">
        <is>
          <t>India Tax Automation</t>
        </is>
      </c>
    </row>
    <row r="216">
      <c r="A216" s="14" t="inlineStr">
        <is>
          <t>Bank Connect</t>
        </is>
      </c>
    </row>
    <row r="217">
      <c r="A217" s="14" t="inlineStr">
        <is>
          <t>FinaLytics</t>
        </is>
      </c>
    </row>
    <row r="218">
      <c r="A218" s="14" t="inlineStr">
        <is>
          <t>Vendor Relationship Management</t>
        </is>
      </c>
    </row>
    <row r="219">
      <c r="A219" s="14" t="inlineStr">
        <is>
          <t>Vendor Onboarding</t>
        </is>
      </c>
    </row>
    <row r="220">
      <c r="A220" s="14" t="inlineStr">
        <is>
          <t>Vendor Insights</t>
        </is>
      </c>
    </row>
    <row r="221">
      <c r="A221" s="14" t="inlineStr">
        <is>
          <t>Vendor Portal</t>
        </is>
      </c>
    </row>
    <row r="222">
      <c r="A222" s="14" t="inlineStr">
        <is>
          <t>Captcha Code</t>
        </is>
      </c>
    </row>
    <row r="223">
      <c r="A223" s="14" t="inlineStr">
        <is>
          <t>DbBas#</t>
        </is>
      </c>
    </row>
    <row r="224">
      <c r="A224" s="14" t="inlineStr">
        <is>
          <t>Submit</t>
        </is>
      </c>
    </row>
    <row r="225">
      <c r="A225" s="14" t="inlineStr">
        <is>
          <t>×</t>
        </is>
      </c>
    </row>
    <row r="226">
      <c r="A226" s="14" t="inlineStr">
        <is>
          <t>IS NOW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97"/>
  <sheetViews>
    <sheetView workbookViewId="0">
      <selection activeCell="A1" sqref="A1"/>
    </sheetView>
  </sheetViews>
  <sheetFormatPr baseColWidth="8" defaultRowHeight="15"/>
  <cols>
    <col width="120" customWidth="1" min="1" max="1"/>
  </cols>
  <sheetData>
    <row r="1">
      <c r="A1" s="12" t="inlineStr">
        <is>
          <t>PRIVACY POLICY TEXT: robu.in</t>
        </is>
      </c>
    </row>
    <row r="2">
      <c r="A2" s="13" t="inlineStr">
        <is>
          <t>(read this to grade the 'robu.in' rows on the Labels sheet)</t>
        </is>
      </c>
    </row>
    <row r="4">
      <c r="A4" s="14">
        <f>==== PAGE: https://robu.in/privacy-policy/ =====</f>
        <v/>
      </c>
    </row>
    <row r="5">
      <c r="A5" s="14" t="inlineStr">
        <is>
          <t>1800 266 6123</t>
        </is>
      </c>
    </row>
    <row r="6">
      <c r="A6" s="14" t="inlineStr">
        <is>
          <t>Customer Support</t>
        </is>
      </c>
    </row>
    <row r="7">
      <c r="A7" s="14" t="inlineStr">
        <is>
          <t>Search</t>
        </is>
      </c>
    </row>
    <row r="8">
      <c r="A8" s="14" t="inlineStr">
        <is>
          <t>Arduino UNO R3</t>
        </is>
      </c>
    </row>
    <row r="9">
      <c r="A9" s="14" t="inlineStr">
        <is>
          <t>how to make a drone</t>
        </is>
      </c>
    </row>
    <row r="10">
      <c r="A10" s="14" t="inlineStr">
        <is>
          <t>Compare</t>
        </is>
      </c>
    </row>
    <row r="11">
      <c r="A11" s="14" t="inlineStr">
        <is>
          <t>Orders</t>
        </is>
      </c>
    </row>
    <row r="12">
      <c r="A12" s="14" t="inlineStr">
        <is>
          <t>All Categories</t>
        </is>
      </c>
    </row>
    <row r="13">
      <c r="A13" s="14" t="inlineStr">
        <is>
          <t>Home</t>
        </is>
      </c>
    </row>
    <row r="14">
      <c r="A14" s="14" t="inlineStr">
        <is>
          <t>Shop</t>
        </is>
      </c>
    </row>
    <row r="15">
      <c r="A15" s="14" t="inlineStr">
        <is>
          <t>Forum</t>
        </is>
      </c>
    </row>
    <row r="16">
      <c r="A16" s="14" t="inlineStr">
        <is>
          <t>Bulk Enquiry</t>
        </is>
      </c>
    </row>
    <row r="17">
      <c r="A17" s="14" t="inlineStr">
        <is>
          <t>New Arrivals</t>
        </is>
      </c>
    </row>
    <row r="18">
      <c r="A18" s="14" t="inlineStr">
        <is>
          <t>ATL Kits Enquiry</t>
        </is>
      </c>
    </row>
    <row r="19">
      <c r="A19" s="14" t="inlineStr">
        <is>
          <t>Blogs</t>
        </is>
      </c>
    </row>
    <row r="20">
      <c r="A20" s="14" t="inlineStr">
        <is>
          <t>BOM TOOL</t>
        </is>
      </c>
    </row>
    <row r="21">
      <c r="A21" s="14" t="inlineStr">
        <is>
          <t>Careers</t>
        </is>
      </c>
    </row>
    <row r="22">
      <c r="A22" s="14" t="inlineStr">
        <is>
          <t>Sell on Robu</t>
        </is>
      </c>
    </row>
    <row r="23">
      <c r="A23" s="14" t="inlineStr">
        <is>
          <t>Privacy Policy</t>
        </is>
      </c>
    </row>
    <row r="24">
      <c r="A24" s="14" t="inlineStr">
        <is>
          <t>HomePrivacy Policy</t>
        </is>
      </c>
    </row>
    <row r="25">
      <c r="A25" s="14" t="inlineStr">
        <is>
          <t>SECTION 1 – WHAT DO WE DO WITH YOUR INFORMATION ?</t>
        </is>
      </c>
    </row>
    <row r="26">
      <c r="A26" s="14" t="inlineStr">
        <is>
          <t>When you purchase something from our store, as part of tester the buying and selling process, we collect the personal information you give us such as your name, address and email address.</t>
        </is>
      </c>
    </row>
    <row r="27">
      <c r="A27" s="14" t="inlineStr">
        <is>
          <t>When you browse our store, we also automatically receive your computer’s internet protocol (IP) address in order to provide us with information that helps us learn about your browser and operating system.</t>
        </is>
      </c>
    </row>
    <row r="28">
      <c r="A28" s="14" t="inlineStr">
        <is>
          <t>When you provide us with personal information to complete a transaction, verify your credit card, place an order or signup on our website, then you are giving us explicit consent to reach out to you using various communication channels like RCS, Whatsapp, Email, SMS etc.</t>
        </is>
      </c>
    </row>
    <row r="29">
      <c r="A29" s="14" t="inlineStr">
        <is>
          <t>SECTION 2 – CONSENT</t>
        </is>
      </c>
    </row>
    <row r="30">
      <c r="A30" s="14" t="inlineStr">
        <is>
          <t>How do you get my consent?</t>
        </is>
      </c>
    </row>
    <row r="31">
      <c r="A31" s="14" t="inlineStr">
        <is>
          <t>When you provide us with personal information to complete a transaction, verify your credit card, place an order, arrange for a delivery or return a purchase, we imply that you consent to our collecting it and using it for that specific reason only.</t>
        </is>
      </c>
    </row>
    <row r="32">
      <c r="A32" s="14" t="inlineStr">
        <is>
          <t>If we ask for your personal information for a secondary reason, like marketing, we will either ask you directly for your expressed consent or provide you with an opportunity to say no.</t>
        </is>
      </c>
    </row>
    <row r="33">
      <c r="A33" s="14" t="inlineStr">
        <is>
          <t>How do I withdraw my consent?</t>
        </is>
      </c>
    </row>
    <row r="34">
      <c r="A34" s="14" t="inlineStr">
        <is>
          <t>If after you opt-in, you change your mind, you may withdraw your consent for us to contact you, for the continued collection, use or disclosure of your information, at anytime, by contacting us at info@robu.in or mailing us at: MACFOS LIMITED Sumant Building, Dynamic Logistics Trade Park, Bhosari Alandi Rd, Dighi, Pune, Maharashtra 411015, India</t>
        </is>
      </c>
    </row>
    <row r="35">
      <c r="A35" s="14" t="inlineStr">
        <is>
          <t>SECTION 3 – DISCLOSURE</t>
        </is>
      </c>
    </row>
    <row r="36">
      <c r="A36" s="14" t="inlineStr">
        <is>
          <t>We may disclose your personal information if we are required by law to do so or if you violate our Terms of Service.</t>
        </is>
      </c>
    </row>
    <row r="37">
      <c r="A37" s="14" t="inlineStr">
        <is>
          <t>SECTION 4 – Payment</t>
        </is>
      </c>
    </row>
    <row r="38">
      <c r="A38" s="14" t="inlineStr">
        <is>
          <t>If you choose a direct payment gateway to complete your purchase, then our system stores your credit card data. It is encrypted through the Payment Card Industry Data Security Standard (PCI-DSS). Your purchase transaction data is stored only as long as is necessary to complete your purchase transaction. After that is complete, your purchase transaction information is deleted.</t>
        </is>
      </c>
    </row>
    <row r="39">
      <c r="A39" s="14" t="inlineStr">
        <is>
          <t>All direct payment gateways adhere to the standards set by PCI-DSS as managed by the PCI Security Standards Council, which is a joint effort of brands like Visa, MasterCard, American Express and Discover.</t>
        </is>
      </c>
    </row>
    <row r="40">
      <c r="A40" s="14" t="inlineStr">
        <is>
          <t>PCI-DSS requirements help ensure the secure handling of credit card information by our store and its service providers.</t>
        </is>
      </c>
    </row>
    <row r="41">
      <c r="A41" s="14" t="inlineStr">
        <is>
          <t>SECTION 5 – THIRD-PARTY SERVICES</t>
        </is>
      </c>
    </row>
    <row r="42">
      <c r="A42" s="14" t="inlineStr">
        <is>
          <t>In general, the third-party providers used by us will only collect, use and disclose your information to the extent necessary to allow them to perform the services they provide to us.</t>
        </is>
      </c>
    </row>
    <row r="43">
      <c r="A43" s="14" t="inlineStr">
        <is>
          <t>However, certain third-party service providers, such as payment gateways and other payment transaction processors, have their own privacy policies in respect to the information we are required to provide to them for your purchase-related transactions.</t>
        </is>
      </c>
    </row>
    <row r="44">
      <c r="A44" s="14" t="inlineStr">
        <is>
          <t>For these providers, we recommend that you read their privacy policies so you can understand the manner in which your personal information will be handled by these providers.</t>
        </is>
      </c>
    </row>
    <row r="45">
      <c r="A45" s="14" t="inlineStr">
        <is>
          <t>In particular, remember that certain providers may be located in or have facilities that are located a different jurisdiction than either you or us. So if you elect to proceed with a transaction that involves the services of a third-party service provider, then your information may become subject to the laws of the jurisdiction(s) in which that service provider or its facilities are located.</t>
        </is>
      </c>
    </row>
    <row r="46">
      <c r="A46" s="14" t="inlineStr">
        <is>
          <t>Once you leave our store’s website or are redirected to a third-party website or application, you are no longer governed by this Privacy Policy or our website’s Terms of Service.</t>
        </is>
      </c>
    </row>
    <row r="47">
      <c r="A47" s="14" t="inlineStr">
        <is>
          <t>Links</t>
        </is>
      </c>
    </row>
    <row r="48">
      <c r="A48" s="14" t="inlineStr">
        <is>
          <t>When you click on links on our store, they may direct you away from our site. We are not responsible for the privacy practices of other sites and encourage you to read their privacy statements.</t>
        </is>
      </c>
    </row>
    <row r="49">
      <c r="A49" s="14" t="inlineStr">
        <is>
          <t>SECTION 6 – SECURITY</t>
        </is>
      </c>
    </row>
    <row r="50">
      <c r="A50" s="14" t="inlineStr">
        <is>
          <t>To protect your personal information, we take reasonable precautions and follow industry best practices to make sure it is not inappropriately lost, misused, accessed, disclosed, altered or destroyed.</t>
        </is>
      </c>
    </row>
    <row r="51">
      <c r="A51" s="14" t="inlineStr">
        <is>
          <t>If you provide us with your credit card information, the information is encrypted using secure socket layer technology (SSL) and stored with a AES-256 encryption. Although no method of transmission over the Internet or electronic storage is 100% secure, we follow all PCI-DSS requirements and implement additional generally accepted industry standards.</t>
        </is>
      </c>
    </row>
    <row r="52">
      <c r="A52" s="14" t="inlineStr">
        <is>
          <t>COOKIES</t>
        </is>
      </c>
    </row>
    <row r="53">
      <c r="A53" s="14" t="inlineStr">
        <is>
          <t>Here is a list of cookies that we use. We’ve listed them here so you that you can choose if you want to opt-out of cookies or not.</t>
        </is>
      </c>
    </row>
    <row r="54">
      <c r="A54" s="14" t="inlineStr">
        <is>
          <t>woocommerce_cart_hash</t>
        </is>
      </c>
    </row>
    <row r="55">
      <c r="A55" s="14" t="inlineStr">
        <is>
          <t>woocommerce_items_in_cart</t>
        </is>
      </c>
    </row>
    <row r="56">
      <c r="A56" s="14" t="inlineStr">
        <is>
          <t>wp_woocommerce_session_</t>
        </is>
      </c>
    </row>
    <row r="57">
      <c r="A57" s="14" t="inlineStr">
        <is>
          <t>The first two cookies contain information about the cart as a whole and helps WooCommerce know when the cart data changes. The final cookie (wp_woocommerce_session_) contains a unique code for each customer so that it knows where to find the cart data in the database for each customer. No personal information is stored within these cookies.</t>
        </is>
      </c>
    </row>
    <row r="58">
      <c r="A58" s="14" t="inlineStr">
        <is>
          <t>SECTION 7 – AGE OF CONSENT</t>
        </is>
      </c>
    </row>
    <row r="59">
      <c r="A59" s="14" t="inlineStr">
        <is>
          <t>By using this site, you represent that you are at least the age of majority in your state or province of residence, or that you are the age of majority in your state or province of residence and you have given us your consent to allow any of your minor dependents to use this site.</t>
        </is>
      </c>
    </row>
    <row r="60">
      <c r="A60" s="14" t="inlineStr">
        <is>
          <t>SECTION 8 – CHANGES TO THIS PRIVACY POLICY</t>
        </is>
      </c>
    </row>
    <row r="61">
      <c r="A61" s="14" t="inlineStr">
        <is>
          <t>We reserve the right to modify this privacy policy at any time, so please review it frequently. Changes and clarifications will take effect immediately upon their posting on the website. If we make material changes to this policy, we will notify you here that it has been updated, so that you are aware of what information we collect, how we use it, and under what circumstances, if any, we use and/or disclose it.</t>
        </is>
      </c>
    </row>
    <row r="62">
      <c r="A62" s="14" t="inlineStr">
        <is>
          <t>If our store is acquired or merged with another company, your information may be transferred to the new owners so that we may continue to sell products to you.</t>
        </is>
      </c>
    </row>
    <row r="63">
      <c r="A63" s="14" t="inlineStr">
        <is>
          <t>QUESTIONS AND CONTACT INFORMATION</t>
        </is>
      </c>
    </row>
    <row r="64">
      <c r="A64" s="14" t="inlineStr">
        <is>
          <t>If you would like to: access, correct, amend or delete any personal information we have about you, register a complaint, or simply want more information contact our Privacy Compliance Officer at info@robu.in or by mail at MACFOS LIMITED</t>
        </is>
      </c>
    </row>
    <row r="65">
      <c r="A65" s="14" t="inlineStr">
        <is>
          <t>[Re: Privacy Compliance Officer]</t>
        </is>
      </c>
    </row>
    <row r="66">
      <c r="A66" s="14" t="inlineStr">
        <is>
          <t>[Sumant Building, Dynamic Logistics Trade Park, Bhosari Alandi Rd, Dighi, Pune, Maharashtra 411015]</t>
        </is>
      </c>
    </row>
    <row r="67">
      <c r="A67" s="14" t="inlineStr">
        <is>
          <t>Subscribe to our Newsletter</t>
        </is>
      </c>
    </row>
    <row r="68">
      <c r="A68" s="14" t="inlineStr">
        <is>
          <t>to get promotional offers &amp; discounts</t>
        </is>
      </c>
    </row>
    <row r="69">
      <c r="A69" s="14" t="inlineStr">
        <is>
          <t>Subscribe</t>
        </is>
      </c>
    </row>
    <row r="70">
      <c r="A70" s="14" t="inlineStr">
        <is>
          <t>Download App</t>
        </is>
      </c>
    </row>
    <row r="71">
      <c r="A71" s="14" t="inlineStr">
        <is>
          <t>Got Questions?</t>
        </is>
      </c>
    </row>
    <row r="72">
      <c r="A72" s="14" t="inlineStr">
        <is>
          <t>Call us between 9:15 AM to 6:15 PM</t>
        </is>
      </c>
    </row>
    <row r="73">
      <c r="A73" s="14" t="inlineStr">
        <is>
          <t>Monday-Saturday</t>
        </is>
      </c>
    </row>
    <row r="74">
      <c r="A74" s="14" t="inlineStr">
        <is>
          <t>1800 266 6123</t>
        </is>
      </c>
    </row>
    <row r="75">
      <c r="A75" s="14" t="inlineStr">
        <is>
          <t>020 68197600</t>
        </is>
      </c>
    </row>
    <row r="76">
      <c r="A76" s="14" t="inlineStr">
        <is>
          <t>Information</t>
        </is>
      </c>
    </row>
    <row r="77">
      <c r="A77" s="14" t="inlineStr">
        <is>
          <t>Track Your Order</t>
        </is>
      </c>
    </row>
    <row r="78">
      <c r="A78" s="14" t="inlineStr">
        <is>
          <t>Videos</t>
        </is>
      </c>
    </row>
    <row r="79">
      <c r="A79" s="14" t="inlineStr">
        <is>
          <t>FAQ</t>
        </is>
      </c>
    </row>
    <row r="80">
      <c r="A80" s="14" t="inlineStr">
        <is>
          <t>Careers</t>
        </is>
      </c>
    </row>
    <row r="81">
      <c r="A81" s="14" t="inlineStr">
        <is>
          <t>My Account</t>
        </is>
      </c>
    </row>
    <row r="82">
      <c r="A82" s="14" t="inlineStr">
        <is>
          <t>Cart</t>
        </is>
      </c>
    </row>
    <row r="83">
      <c r="A83" s="14" t="inlineStr">
        <is>
          <t>Checkout</t>
        </is>
      </c>
    </row>
    <row r="84">
      <c r="A84" s="14" t="inlineStr">
        <is>
          <t>My Account</t>
        </is>
      </c>
    </row>
    <row r="85">
      <c r="A85" s="14" t="inlineStr">
        <is>
          <t>Payment Options</t>
        </is>
      </c>
    </row>
    <row r="86">
      <c r="A86" s="14" t="inlineStr">
        <is>
          <t>Services</t>
        </is>
      </c>
    </row>
    <row r="87">
      <c r="A87" s="14" t="inlineStr">
        <is>
          <t>About Us</t>
        </is>
      </c>
    </row>
    <row r="88">
      <c r="A88" s="14" t="inlineStr">
        <is>
          <t>Contact Us</t>
        </is>
      </c>
    </row>
    <row r="89">
      <c r="A89" s="14" t="inlineStr">
        <is>
          <t>Robu B2B</t>
        </is>
      </c>
    </row>
    <row r="90">
      <c r="A90" s="14" t="inlineStr">
        <is>
          <t>Policies</t>
        </is>
      </c>
    </row>
    <row r="91">
      <c r="A91" s="14" t="inlineStr">
        <is>
          <t>Investor Relations</t>
        </is>
      </c>
    </row>
    <row r="92">
      <c r="A92" s="14" t="inlineStr">
        <is>
          <t>Macfos Csr</t>
        </is>
      </c>
    </row>
    <row r="93">
      <c r="A93" s="14" t="inlineStr">
        <is>
          <t>Privacy Policy</t>
        </is>
      </c>
    </row>
    <row r="94">
      <c r="A94" s="14" t="inlineStr">
        <is>
          <t>Terms of Service</t>
        </is>
      </c>
    </row>
    <row r="95">
      <c r="A95" s="14" t="inlineStr">
        <is>
          <t>Shipping &amp; Refund</t>
        </is>
      </c>
    </row>
    <row r="96">
      <c r="A96" s="14" t="inlineStr">
        <is>
          <t>E-Waste Collection</t>
        </is>
      </c>
    </row>
    <row r="97">
      <c r="A97" s="14" t="inlineStr">
        <is>
          <t>© Robu.in is registered trademark of MACFOS LIMITED -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2026-10-18T18:04:11Z</dcterms:created>
  <dcterms:modified xmlns:dcterms="http://purl.org/dc/terms/" xmlns:xsi="http://www.w3.org/2001/XMLSchema-instance" xsi:type="dcterms:W3CDTF">2026-10-18T18:04:11Z</dcterms:modified>
</cp:coreProperties>
</file>